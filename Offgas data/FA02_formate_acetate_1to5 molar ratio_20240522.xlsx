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yuboer\TUD_2024_ebpr_formate\formate\2025_manuscript_ISME\figures\fig4_h2ase\Offgas_data\"/>
    </mc:Choice>
  </mc:AlternateContent>
  <xr:revisionPtr revIDLastSave="0" documentId="13_ncr:1_{87192E66-F2A1-422C-A375-50D0970389BA}" xr6:coauthVersionLast="47" xr6:coauthVersionMax="47" xr10:uidLastSave="{00000000-0000-0000-0000-000000000000}"/>
  <bookViews>
    <workbookView xWindow="390" yWindow="390" windowWidth="27705" windowHeight="11610" activeTab="1" xr2:uid="{55AC8C4A-98C3-4688-B488-43B065CC6AC8}"/>
  </bookViews>
  <sheets>
    <sheet name="Liquid phase" sheetId="1" r:id="rId1"/>
    <sheet name="Gas ph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1" l="1"/>
  <c r="N31" i="1"/>
  <c r="N30" i="1"/>
  <c r="O27" i="1"/>
  <c r="N26" i="1"/>
  <c r="N27" i="1"/>
  <c r="N25" i="1"/>
  <c r="D60" i="1"/>
  <c r="G60" i="1"/>
  <c r="H62" i="1"/>
  <c r="M10" i="1"/>
  <c r="M13" i="1"/>
  <c r="C37" i="1"/>
  <c r="F37" i="1"/>
  <c r="E37" i="1"/>
  <c r="D37" i="1"/>
  <c r="G62" i="1"/>
  <c r="G61" i="1"/>
  <c r="E62" i="1" l="1"/>
  <c r="D62" i="1"/>
  <c r="E61" i="1"/>
  <c r="D61" i="1"/>
  <c r="G58" i="1"/>
  <c r="I43" i="1" l="1"/>
  <c r="I44" i="1"/>
  <c r="I45" i="1"/>
  <c r="I46" i="1"/>
  <c r="I47" i="1"/>
  <c r="I41" i="1"/>
</calcChain>
</file>

<file path=xl/sharedStrings.xml><?xml version="1.0" encoding="utf-8"?>
<sst xmlns="http://schemas.openxmlformats.org/spreadsheetml/2006/main" count="66" uniqueCount="52">
  <si>
    <t>Time (min)</t>
  </si>
  <si>
    <t>HAc (mM)</t>
  </si>
  <si>
    <t>STD</t>
  </si>
  <si>
    <t>part 2. Glycogen_PHB_PHV (mM)</t>
  </si>
  <si>
    <t>End of ana</t>
  </si>
  <si>
    <t>End of ae</t>
  </si>
  <si>
    <t>part 3. PO4 and NH4-N (mM)</t>
  </si>
  <si>
    <t>PO4</t>
  </si>
  <si>
    <t>0.0</t>
  </si>
  <si>
    <t>5.0</t>
  </si>
  <si>
    <t>10.0</t>
  </si>
  <si>
    <t>40.0</t>
  </si>
  <si>
    <t>60.0</t>
  </si>
  <si>
    <t>90.0</t>
  </si>
  <si>
    <t>120.0</t>
  </si>
  <si>
    <t>122.0</t>
  </si>
  <si>
    <t>125.0</t>
  </si>
  <si>
    <t>130.0</t>
  </si>
  <si>
    <t>135.0</t>
  </si>
  <si>
    <t>190.0</t>
  </si>
  <si>
    <t>220.0</t>
  </si>
  <si>
    <t>254.0</t>
  </si>
  <si>
    <t>Mineral tank</t>
  </si>
  <si>
    <t>Nitrogen</t>
  </si>
  <si>
    <t>Argon</t>
  </si>
  <si>
    <t>Oxygen</t>
  </si>
  <si>
    <t>Carbon Dioxide</t>
  </si>
  <si>
    <t>Hydrogen</t>
  </si>
  <si>
    <t>Methane</t>
  </si>
  <si>
    <t xml:space="preserve">part 1.1 HAc </t>
  </si>
  <si>
    <t>part 1.2 Formate</t>
  </si>
  <si>
    <t>Formate (mM)</t>
  </si>
  <si>
    <t>NH4</t>
  </si>
  <si>
    <t>-2.0</t>
  </si>
  <si>
    <t>2.0</t>
  </si>
  <si>
    <t>20.0</t>
  </si>
  <si>
    <t>145.0</t>
  </si>
  <si>
    <t>160.0</t>
  </si>
  <si>
    <t>20240724 data_feed with  Hac : formate = 5:1 (mol:mol)</t>
  </si>
  <si>
    <t>Glycogen (as glucose)</t>
  </si>
  <si>
    <t>HB (as hydroxybutyrate)</t>
  </si>
  <si>
    <t>HV (as hydroxyvalerate)</t>
  </si>
  <si>
    <t>HV/HB</t>
  </si>
  <si>
    <t>g-glycogen_ae_end</t>
  </si>
  <si>
    <t xml:space="preserve"> g/mol-glucose</t>
  </si>
  <si>
    <t>g-VSS</t>
  </si>
  <si>
    <t>VSS (mg/g-sludge)</t>
  </si>
  <si>
    <t>glycogen/Ac (mol:mol)</t>
  </si>
  <si>
    <t>ana_gly (mM)</t>
  </si>
  <si>
    <t>ae_gly (mM)</t>
  </si>
  <si>
    <t>dT_Measurement sampling interval (min)</t>
  </si>
  <si>
    <t>Gas content % in offgas at a flow rate of 500 ml/min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</si>
</sst>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/>
    <xf numFmtId="164" fontId="0" fillId="3" borderId="0" xfId="0" applyNumberFormat="1" applyFill="1" applyAlignment="1">
      <alignment horizont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/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 vertical="top"/>
    </xf>
    <xf numFmtId="0" fontId="0" fillId="5" borderId="0" xfId="0" applyFill="1"/>
    <xf numFmtId="0" fontId="1" fillId="6" borderId="2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top"/>
    </xf>
    <xf numFmtId="0" fontId="0" fillId="6" borderId="0" xfId="0" applyFill="1" applyAlignment="1">
      <alignment horizontal="left"/>
    </xf>
    <xf numFmtId="0" fontId="1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AC-4F70-B12F-AEB7640C155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AC-4F70-B12F-AEB7640C15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'Liquid phase'!$H$41:$H$49</c:f>
              <c:numCache>
                <c:formatCode>General</c:formatCode>
                <c:ptCount val="9"/>
                <c:pt idx="0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8">
                  <c:v>120</c:v>
                </c:pt>
              </c:numCache>
            </c:numRef>
          </c:xVal>
          <c:yVal>
            <c:numRef>
              <c:f>'Liquid phase'!$I$41:$I$49</c:f>
              <c:numCache>
                <c:formatCode>General</c:formatCode>
                <c:ptCount val="9"/>
                <c:pt idx="0">
                  <c:v>1.2576666666666667</c:v>
                </c:pt>
                <c:pt idx="2">
                  <c:v>1.2221060873248752</c:v>
                </c:pt>
                <c:pt idx="3">
                  <c:v>1.212222484001704</c:v>
                </c:pt>
                <c:pt idx="4">
                  <c:v>1.1967458430608207</c:v>
                </c:pt>
                <c:pt idx="5">
                  <c:v>1.1586809645859961</c:v>
                </c:pt>
                <c:pt idx="6">
                  <c:v>1.1336638894243467</c:v>
                </c:pt>
                <c:pt idx="8">
                  <c:v>1.622572768746386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AC-4F70-B12F-AEB7640C1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773456"/>
        <c:axId val="762770096"/>
      </c:scatterChart>
      <c:valAx>
        <c:axId val="76277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62770096"/>
        <c:crosses val="autoZero"/>
        <c:crossBetween val="midCat"/>
      </c:valAx>
      <c:valAx>
        <c:axId val="76277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6277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7541557305336833E-3"/>
                  <c:y val="-0.120637941090696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'Liquid phase'!$B$27:$B$29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25</c:v>
                </c:pt>
              </c:numCache>
            </c:numRef>
          </c:xVal>
          <c:yVal>
            <c:numRef>
              <c:f>'Liquid phase'!$C$27:$C$29</c:f>
              <c:numCache>
                <c:formatCode>General</c:formatCode>
                <c:ptCount val="3"/>
                <c:pt idx="0">
                  <c:v>5.756628882947056</c:v>
                </c:pt>
                <c:pt idx="1">
                  <c:v>5.2452033962189288</c:v>
                </c:pt>
                <c:pt idx="2">
                  <c:v>4.6124137323174272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2A-4723-934E-D342983A7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648800"/>
        <c:axId val="770649280"/>
      </c:scatterChart>
      <c:valAx>
        <c:axId val="77064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70649280"/>
        <c:crosses val="autoZero"/>
        <c:crossBetween val="midCat"/>
      </c:valAx>
      <c:valAx>
        <c:axId val="77064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7064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'Liquid phase'!$H$49:$H$58</c:f>
              <c:numCache>
                <c:formatCode>General</c:formatCode>
                <c:ptCount val="10"/>
                <c:pt idx="0">
                  <c:v>120</c:v>
                </c:pt>
                <c:pt idx="1">
                  <c:v>122</c:v>
                </c:pt>
                <c:pt idx="2">
                  <c:v>125</c:v>
                </c:pt>
                <c:pt idx="3">
                  <c:v>130</c:v>
                </c:pt>
                <c:pt idx="4">
                  <c:v>135</c:v>
                </c:pt>
                <c:pt idx="5">
                  <c:v>145</c:v>
                </c:pt>
                <c:pt idx="6">
                  <c:v>160</c:v>
                </c:pt>
                <c:pt idx="7">
                  <c:v>190</c:v>
                </c:pt>
                <c:pt idx="8">
                  <c:v>220</c:v>
                </c:pt>
                <c:pt idx="9">
                  <c:v>254</c:v>
                </c:pt>
              </c:numCache>
            </c:numRef>
          </c:xVal>
          <c:yVal>
            <c:numRef>
              <c:f>'Liquid phase'!$I$49:$I$58</c:f>
              <c:numCache>
                <c:formatCode>General</c:formatCode>
                <c:ptCount val="10"/>
                <c:pt idx="0">
                  <c:v>1.622572768746386</c:v>
                </c:pt>
                <c:pt idx="1">
                  <c:v>1.6040659113138711</c:v>
                </c:pt>
                <c:pt idx="2">
                  <c:v>1.5726962810654901</c:v>
                </c:pt>
                <c:pt idx="3">
                  <c:v>1.519016970449856</c:v>
                </c:pt>
                <c:pt idx="4">
                  <c:v>1.496358528418543</c:v>
                </c:pt>
                <c:pt idx="5">
                  <c:v>1.462468318733178</c:v>
                </c:pt>
                <c:pt idx="6">
                  <c:v>1.3796404577809189</c:v>
                </c:pt>
                <c:pt idx="7">
                  <c:v>1.222510298642792</c:v>
                </c:pt>
                <c:pt idx="8">
                  <c:v>1.0666734491350569</c:v>
                </c:pt>
                <c:pt idx="9">
                  <c:v>0.94350596500246309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D9-4FB0-86A5-39FAB994F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046240"/>
        <c:axId val="1134046720"/>
      </c:scatterChart>
      <c:valAx>
        <c:axId val="113404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34046720"/>
        <c:crosses val="autoZero"/>
        <c:crossBetween val="midCat"/>
      </c:valAx>
      <c:valAx>
        <c:axId val="11340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3404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'Liquid phase'!$B$27:$B$36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60</c:v>
                </c:pt>
                <c:pt idx="4">
                  <c:v>120</c:v>
                </c:pt>
                <c:pt idx="5">
                  <c:v>127</c:v>
                </c:pt>
                <c:pt idx="6">
                  <c:v>135</c:v>
                </c:pt>
                <c:pt idx="7">
                  <c:v>160</c:v>
                </c:pt>
                <c:pt idx="8">
                  <c:v>190</c:v>
                </c:pt>
                <c:pt idx="9">
                  <c:v>254</c:v>
                </c:pt>
              </c:numCache>
            </c:numRef>
          </c:xVal>
          <c:yVal>
            <c:numRef>
              <c:f>'Liquid phase'!$C$27:$C$36</c:f>
              <c:numCache>
                <c:formatCode>General</c:formatCode>
                <c:ptCount val="10"/>
                <c:pt idx="0">
                  <c:v>5.756628882947056</c:v>
                </c:pt>
                <c:pt idx="1">
                  <c:v>5.2452033962189288</c:v>
                </c:pt>
                <c:pt idx="2">
                  <c:v>4.6124137323174272</c:v>
                </c:pt>
                <c:pt idx="3">
                  <c:v>3.6340305993465361</c:v>
                </c:pt>
                <c:pt idx="4">
                  <c:v>3.3346635070568271</c:v>
                </c:pt>
                <c:pt idx="5">
                  <c:v>3.923671887739582</c:v>
                </c:pt>
                <c:pt idx="6">
                  <c:v>3.837934228449615</c:v>
                </c:pt>
                <c:pt idx="7">
                  <c:v>4.3464728999656144</c:v>
                </c:pt>
                <c:pt idx="8">
                  <c:v>5.3578066295523454</c:v>
                </c:pt>
                <c:pt idx="9">
                  <c:v>6.4521344010597668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2C-4BC8-AC85-C3A80B740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229999"/>
        <c:axId val="1174300015"/>
      </c:scatterChart>
      <c:valAx>
        <c:axId val="143722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74300015"/>
        <c:crosses val="autoZero"/>
        <c:crossBetween val="midCat"/>
      </c:valAx>
      <c:valAx>
        <c:axId val="117430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37229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'Liquid phase'!$C$72:$C$81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60</c:v>
                </c:pt>
                <c:pt idx="4">
                  <c:v>120</c:v>
                </c:pt>
                <c:pt idx="5">
                  <c:v>127</c:v>
                </c:pt>
                <c:pt idx="6">
                  <c:v>135</c:v>
                </c:pt>
                <c:pt idx="7">
                  <c:v>160</c:v>
                </c:pt>
                <c:pt idx="8">
                  <c:v>190</c:v>
                </c:pt>
                <c:pt idx="9">
                  <c:v>254</c:v>
                </c:pt>
              </c:numCache>
            </c:numRef>
          </c:xVal>
          <c:yVal>
            <c:numRef>
              <c:f>'Liquid phase'!$D$72:$D$81</c:f>
              <c:numCache>
                <c:formatCode>General</c:formatCode>
                <c:ptCount val="10"/>
                <c:pt idx="0">
                  <c:v>0.95884461318458403</c:v>
                </c:pt>
                <c:pt idx="1">
                  <c:v>2.0698587783853228</c:v>
                </c:pt>
                <c:pt idx="2">
                  <c:v>4.0341073883002094</c:v>
                </c:pt>
                <c:pt idx="3">
                  <c:v>4.8423743787212654</c:v>
                </c:pt>
                <c:pt idx="4">
                  <c:v>4.8353388436943812</c:v>
                </c:pt>
                <c:pt idx="5">
                  <c:v>5.0661528437487799</c:v>
                </c:pt>
                <c:pt idx="6">
                  <c:v>4.7072023344719378</c:v>
                </c:pt>
                <c:pt idx="7">
                  <c:v>4.7368831961863416</c:v>
                </c:pt>
                <c:pt idx="8">
                  <c:v>2.4276560462370802</c:v>
                </c:pt>
                <c:pt idx="9">
                  <c:v>0.68794641811995394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1E-4975-891D-7BE566C9F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166224"/>
        <c:axId val="319164784"/>
      </c:scatterChart>
      <c:valAx>
        <c:axId val="31916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19164784"/>
        <c:crosses val="autoZero"/>
        <c:crossBetween val="midCat"/>
      </c:valAx>
      <c:valAx>
        <c:axId val="31916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1916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'Liquid phase'!$E$72:$E$81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60</c:v>
                </c:pt>
                <c:pt idx="4">
                  <c:v>120</c:v>
                </c:pt>
                <c:pt idx="5">
                  <c:v>127</c:v>
                </c:pt>
                <c:pt idx="6">
                  <c:v>135</c:v>
                </c:pt>
                <c:pt idx="7">
                  <c:v>160</c:v>
                </c:pt>
                <c:pt idx="8">
                  <c:v>190</c:v>
                </c:pt>
                <c:pt idx="9">
                  <c:v>254</c:v>
                </c:pt>
              </c:numCache>
            </c:numRef>
          </c:xVal>
          <c:yVal>
            <c:numRef>
              <c:f>'Liquid phase'!$F$72:$F$81</c:f>
              <c:numCache>
                <c:formatCode>General</c:formatCode>
                <c:ptCount val="10"/>
                <c:pt idx="0">
                  <c:v>0.2943732407834132</c:v>
                </c:pt>
                <c:pt idx="1">
                  <c:v>0.5617034157069285</c:v>
                </c:pt>
                <c:pt idx="2">
                  <c:v>0.99427751282271271</c:v>
                </c:pt>
                <c:pt idx="3">
                  <c:v>1.481323314496737</c:v>
                </c:pt>
                <c:pt idx="4">
                  <c:v>1.9572255817523909</c:v>
                </c:pt>
                <c:pt idx="5">
                  <c:v>1.9315070592604271</c:v>
                </c:pt>
                <c:pt idx="6">
                  <c:v>1.7523921542800389</c:v>
                </c:pt>
                <c:pt idx="7">
                  <c:v>1.6550236785190491</c:v>
                </c:pt>
                <c:pt idx="8">
                  <c:v>0.75081255342219755</c:v>
                </c:pt>
                <c:pt idx="9">
                  <c:v>0.17358264693190481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E5-406F-86F6-E4B9573C4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833359"/>
        <c:axId val="319165744"/>
      </c:scatterChart>
      <c:valAx>
        <c:axId val="147583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19165744"/>
        <c:crosses val="autoZero"/>
        <c:crossBetween val="midCat"/>
      </c:valAx>
      <c:valAx>
        <c:axId val="31916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7583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37</xdr:row>
      <xdr:rowOff>161925</xdr:rowOff>
    </xdr:from>
    <xdr:to>
      <xdr:col>16</xdr:col>
      <xdr:colOff>66675</xdr:colOff>
      <xdr:row>52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8D09D-C8FE-2FD2-8BF0-3BE829B24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1214437</xdr:colOff>
      <xdr:row>39</xdr:row>
      <xdr:rowOff>147637</xdr:rowOff>
    </xdr:from>
    <xdr:to>
      <xdr:col>13</xdr:col>
      <xdr:colOff>157162</xdr:colOff>
      <xdr:row>54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24EE7C-8F24-A5EA-F387-A76B71C94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576262</xdr:colOff>
      <xdr:row>52</xdr:row>
      <xdr:rowOff>42862</xdr:rowOff>
    </xdr:from>
    <xdr:to>
      <xdr:col>16</xdr:col>
      <xdr:colOff>347662</xdr:colOff>
      <xdr:row>66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F58BD9-4CDB-30EC-C954-22AC01141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495300</xdr:colOff>
      <xdr:row>8</xdr:row>
      <xdr:rowOff>14287</xdr:rowOff>
    </xdr:from>
    <xdr:to>
      <xdr:col>11</xdr:col>
      <xdr:colOff>47625</xdr:colOff>
      <xdr:row>22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75A2FE-A474-FF87-EC8E-2FE300428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476250</xdr:colOff>
      <xdr:row>62</xdr:row>
      <xdr:rowOff>71437</xdr:rowOff>
    </xdr:from>
    <xdr:to>
      <xdr:col>12</xdr:col>
      <xdr:colOff>28575</xdr:colOff>
      <xdr:row>76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A3AE83-3D5F-5D59-CEC0-6F4B3BF47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476250</xdr:colOff>
      <xdr:row>62</xdr:row>
      <xdr:rowOff>71437</xdr:rowOff>
    </xdr:from>
    <xdr:to>
      <xdr:col>12</xdr:col>
      <xdr:colOff>28575</xdr:colOff>
      <xdr:row>76</xdr:row>
      <xdr:rowOff>147637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CE9EC9-896D-D781-70BF-6CB378474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1DAC-9F9F-41FD-91BE-E6E282E2E46F}">
  <dimension ref="A1:O81"/>
  <sheetViews>
    <sheetView workbookViewId="0">
      <selection activeCell="M30" sqref="M30:N32"/>
    </sheetView>
  </sheetViews>
  <sheetFormatPr defaultRowHeight="15" x14ac:dyDescent="0.25"/>
  <cols>
    <col min="1" max="1" width="13.85546875" customWidth="1"/>
    <col min="2" max="2" width="16.5703125" customWidth="1"/>
    <col min="3" max="3" width="20.140625" customWidth="1"/>
    <col min="5" max="5" width="23.42578125" customWidth="1"/>
    <col min="7" max="7" width="21.5703125" customWidth="1"/>
    <col min="9" max="9" width="9.140625" customWidth="1"/>
    <col min="10" max="10" width="13" customWidth="1"/>
    <col min="11" max="11" width="13.28515625" customWidth="1"/>
    <col min="12" max="12" width="9.140625" style="4"/>
    <col min="13" max="13" width="18" customWidth="1"/>
  </cols>
  <sheetData>
    <row r="1" spans="1:13" s="1" customFormat="1" ht="15.75" customHeight="1" x14ac:dyDescent="0.25">
      <c r="A1" s="1" t="s">
        <v>38</v>
      </c>
      <c r="L1" s="5"/>
    </row>
    <row r="2" spans="1:13" s="6" customFormat="1" ht="15.75" customHeight="1" x14ac:dyDescent="0.25">
      <c r="L2" s="7"/>
    </row>
    <row r="3" spans="1:13" x14ac:dyDescent="0.25">
      <c r="A3" s="2" t="s">
        <v>29</v>
      </c>
      <c r="J3" s="2" t="s">
        <v>30</v>
      </c>
    </row>
    <row r="4" spans="1:13" x14ac:dyDescent="0.25">
      <c r="A4" s="3"/>
      <c r="B4" s="4" t="s">
        <v>0</v>
      </c>
      <c r="C4" s="4" t="s">
        <v>1</v>
      </c>
      <c r="D4" s="4" t="s">
        <v>2</v>
      </c>
      <c r="J4" s="4" t="s">
        <v>0</v>
      </c>
      <c r="K4" s="4" t="s">
        <v>31</v>
      </c>
      <c r="L4" s="4" t="s">
        <v>2</v>
      </c>
    </row>
    <row r="5" spans="1:13" x14ac:dyDescent="0.25">
      <c r="B5" s="4">
        <v>-2</v>
      </c>
      <c r="C5" s="4">
        <v>0</v>
      </c>
      <c r="D5" s="4">
        <v>0</v>
      </c>
      <c r="J5" s="4">
        <v>0</v>
      </c>
      <c r="K5" s="9">
        <v>1.2807999999999999</v>
      </c>
      <c r="L5" s="9">
        <v>0</v>
      </c>
    </row>
    <row r="6" spans="1:13" x14ac:dyDescent="0.25">
      <c r="B6" s="4">
        <v>0</v>
      </c>
      <c r="C6" s="4">
        <v>5.9879296336869938</v>
      </c>
      <c r="D6" s="4">
        <v>2.5313958217979771E-2</v>
      </c>
      <c r="J6" s="4">
        <v>2</v>
      </c>
      <c r="K6" s="9">
        <v>1.2704</v>
      </c>
      <c r="L6" s="9">
        <v>7.8726385264806797E-3</v>
      </c>
    </row>
    <row r="7" spans="1:13" x14ac:dyDescent="0.25">
      <c r="B7" s="4">
        <v>2</v>
      </c>
      <c r="C7" s="4">
        <v>5.6287854625652001</v>
      </c>
      <c r="D7" s="4">
        <v>4.2288707974307727E-2</v>
      </c>
      <c r="J7" s="4">
        <v>5</v>
      </c>
      <c r="K7" s="9">
        <v>1.2495046567351431</v>
      </c>
      <c r="L7" s="9">
        <v>4.0836389841941712E-3</v>
      </c>
    </row>
    <row r="8" spans="1:13" x14ac:dyDescent="0.25">
      <c r="B8" s="4">
        <v>5</v>
      </c>
      <c r="C8" s="4">
        <v>5.0316731703512536</v>
      </c>
      <c r="D8" s="4">
        <v>1.0590958890444041E-2</v>
      </c>
      <c r="J8" s="4">
        <v>10</v>
      </c>
      <c r="K8" s="9">
        <v>1.2403089704850561</v>
      </c>
      <c r="L8" s="9">
        <v>4.7846850369626098E-4</v>
      </c>
    </row>
    <row r="9" spans="1:13" x14ac:dyDescent="0.25">
      <c r="B9" s="4">
        <v>10</v>
      </c>
      <c r="C9" s="4">
        <v>4.0809893095154486</v>
      </c>
      <c r="D9" s="4">
        <v>1.7738525800434779E-2</v>
      </c>
      <c r="J9" s="4">
        <v>20</v>
      </c>
      <c r="K9" s="9">
        <v>1.2146370706760821</v>
      </c>
      <c r="L9" s="9">
        <v>9.1669214485877726E-3</v>
      </c>
    </row>
    <row r="10" spans="1:13" x14ac:dyDescent="0.25">
      <c r="B10" s="4">
        <v>20</v>
      </c>
      <c r="C10" s="4">
        <v>2.2529124254062869</v>
      </c>
      <c r="D10" s="4">
        <v>5.728897572057523E-3</v>
      </c>
      <c r="J10" s="4">
        <v>40</v>
      </c>
      <c r="K10" s="9">
        <v>1.1862517174931519</v>
      </c>
      <c r="L10" s="9">
        <v>1.0573193117603189E-2</v>
      </c>
      <c r="M10" s="12">
        <f>K5-K10</f>
        <v>9.4548282506847992E-2</v>
      </c>
    </row>
    <row r="11" spans="1:13" x14ac:dyDescent="0.25">
      <c r="B11" s="4">
        <v>40</v>
      </c>
      <c r="C11" s="4">
        <v>0</v>
      </c>
      <c r="D11" s="4">
        <v>0</v>
      </c>
      <c r="J11" s="4">
        <v>60</v>
      </c>
      <c r="K11" s="9">
        <v>1.071170964545745</v>
      </c>
      <c r="L11" s="9">
        <v>4.4403917175315222E-3</v>
      </c>
    </row>
    <row r="12" spans="1:13" x14ac:dyDescent="0.25">
      <c r="J12" s="4">
        <v>90</v>
      </c>
      <c r="K12" s="9">
        <v>0.96727267592874377</v>
      </c>
      <c r="L12" s="9">
        <v>1.8996298782881229E-3</v>
      </c>
    </row>
    <row r="13" spans="1:13" x14ac:dyDescent="0.25">
      <c r="I13" t="s">
        <v>4</v>
      </c>
      <c r="J13" s="4">
        <v>120</v>
      </c>
      <c r="K13" s="9">
        <v>0.82396982375219285</v>
      </c>
      <c r="L13" s="9">
        <v>2.3018499498352329E-3</v>
      </c>
      <c r="M13" s="12">
        <f>K5-K13</f>
        <v>0.45683017624780708</v>
      </c>
    </row>
    <row r="14" spans="1:13" x14ac:dyDescent="0.25">
      <c r="J14" s="4">
        <v>122</v>
      </c>
      <c r="K14" s="9">
        <v>0.65664299461712439</v>
      </c>
      <c r="L14" s="9">
        <v>2.223168134468823E-3</v>
      </c>
    </row>
    <row r="15" spans="1:13" x14ac:dyDescent="0.25">
      <c r="J15" s="4">
        <v>125</v>
      </c>
      <c r="K15" s="9">
        <v>0.62620648780084709</v>
      </c>
      <c r="L15" s="9">
        <v>2.4856951504420582E-4</v>
      </c>
    </row>
    <row r="16" spans="1:13" x14ac:dyDescent="0.25">
      <c r="J16" s="4">
        <v>130</v>
      </c>
      <c r="K16" s="9">
        <v>0.59604679977075614</v>
      </c>
      <c r="L16" s="9">
        <v>1.6686522422693639E-3</v>
      </c>
    </row>
    <row r="17" spans="1:15" x14ac:dyDescent="0.25">
      <c r="J17" s="4">
        <v>135</v>
      </c>
      <c r="K17" s="9">
        <v>0.55060480629774733</v>
      </c>
      <c r="L17" s="9">
        <v>5.4056394993590162E-4</v>
      </c>
    </row>
    <row r="18" spans="1:15" x14ac:dyDescent="0.25">
      <c r="J18" s="4">
        <v>145</v>
      </c>
      <c r="K18" s="9">
        <v>0.50116802647158565</v>
      </c>
      <c r="L18" s="9">
        <v>3.0171624089889988E-3</v>
      </c>
    </row>
    <row r="19" spans="1:15" x14ac:dyDescent="0.25">
      <c r="J19" s="4">
        <v>160</v>
      </c>
      <c r="K19" s="9">
        <v>0.3951719098225045</v>
      </c>
      <c r="L19" s="9">
        <v>3.5858004480476269E-3</v>
      </c>
    </row>
    <row r="20" spans="1:15" x14ac:dyDescent="0.25">
      <c r="J20" s="4">
        <v>190</v>
      </c>
      <c r="K20" s="9">
        <v>0.24320643600788619</v>
      </c>
      <c r="L20" s="9">
        <v>3.0460208198111738E-3</v>
      </c>
    </row>
    <row r="21" spans="1:15" x14ac:dyDescent="0.25">
      <c r="J21" s="4">
        <v>220</v>
      </c>
      <c r="K21" s="9">
        <v>0</v>
      </c>
      <c r="L21" s="9">
        <v>0</v>
      </c>
    </row>
    <row r="22" spans="1:15" x14ac:dyDescent="0.25">
      <c r="I22" t="s">
        <v>5</v>
      </c>
      <c r="J22" s="4">
        <v>254</v>
      </c>
      <c r="K22" s="9">
        <v>0</v>
      </c>
      <c r="L22" s="9">
        <v>0</v>
      </c>
    </row>
    <row r="23" spans="1:15" s="6" customFormat="1" x14ac:dyDescent="0.25">
      <c r="J23" s="7"/>
      <c r="K23" s="10"/>
      <c r="L23" s="11"/>
    </row>
    <row r="24" spans="1:15" x14ac:dyDescent="0.25">
      <c r="A24" s="2" t="s">
        <v>3</v>
      </c>
    </row>
    <row r="25" spans="1:15" x14ac:dyDescent="0.25">
      <c r="B25" s="4" t="s">
        <v>0</v>
      </c>
      <c r="C25" s="4" t="s">
        <v>39</v>
      </c>
      <c r="D25" s="4" t="s">
        <v>2</v>
      </c>
      <c r="E25" s="4" t="s">
        <v>40</v>
      </c>
      <c r="F25" s="4" t="s">
        <v>2</v>
      </c>
      <c r="G25" s="4" t="s">
        <v>41</v>
      </c>
      <c r="H25" s="4" t="s">
        <v>2</v>
      </c>
      <c r="L25"/>
      <c r="M25" s="4" t="s">
        <v>42</v>
      </c>
      <c r="N25">
        <f>G31/E31</f>
        <v>0.40477526912198708</v>
      </c>
    </row>
    <row r="26" spans="1:15" x14ac:dyDescent="0.25">
      <c r="B26" s="4">
        <v>-2</v>
      </c>
      <c r="C26" s="4">
        <v>5.8789580000929886</v>
      </c>
      <c r="D26" s="4">
        <v>0.27145404110334292</v>
      </c>
      <c r="E26" s="4">
        <v>0.64346675404745368</v>
      </c>
      <c r="F26" s="4">
        <v>2.6305856770431849E-2</v>
      </c>
      <c r="G26" s="4">
        <v>0.23604306138796699</v>
      </c>
      <c r="H26" s="4">
        <v>3.1848850822077251E-3</v>
      </c>
      <c r="L26"/>
      <c r="M26" s="4" t="s">
        <v>43</v>
      </c>
      <c r="N26">
        <f>C36*K27*1.5/1000</f>
        <v>1.743586087735985</v>
      </c>
    </row>
    <row r="27" spans="1:15" x14ac:dyDescent="0.25">
      <c r="B27" s="4">
        <v>0</v>
      </c>
      <c r="C27" s="4">
        <v>5.756628882947056</v>
      </c>
      <c r="D27" s="4">
        <v>0.13200485647727631</v>
      </c>
      <c r="E27" s="4">
        <v>0.95884461318458403</v>
      </c>
      <c r="F27" s="4">
        <v>0</v>
      </c>
      <c r="G27" s="4">
        <v>0.2943732407834132</v>
      </c>
      <c r="H27" s="4">
        <v>0</v>
      </c>
      <c r="K27">
        <v>180.15600000000001</v>
      </c>
      <c r="L27" t="s">
        <v>44</v>
      </c>
      <c r="M27" s="4" t="s">
        <v>45</v>
      </c>
      <c r="N27">
        <f>N28*1.5</f>
        <v>6.8330724992413652</v>
      </c>
      <c r="O27">
        <f>N26/N27</f>
        <v>0.25516867967222134</v>
      </c>
    </row>
    <row r="28" spans="1:15" x14ac:dyDescent="0.25">
      <c r="B28" s="4">
        <v>10</v>
      </c>
      <c r="C28" s="4">
        <v>5.2452033962189288</v>
      </c>
      <c r="D28" s="4">
        <v>0.16871176293308379</v>
      </c>
      <c r="E28" s="4">
        <v>2.0698587783853228</v>
      </c>
      <c r="F28" s="4">
        <v>0</v>
      </c>
      <c r="G28" s="4">
        <v>0.5617034157069285</v>
      </c>
      <c r="H28" s="4">
        <v>0</v>
      </c>
      <c r="L28"/>
      <c r="M28" s="4" t="s">
        <v>46</v>
      </c>
      <c r="N28" s="13">
        <v>4.5553816661609101</v>
      </c>
    </row>
    <row r="29" spans="1:15" x14ac:dyDescent="0.25">
      <c r="B29" s="4">
        <v>25</v>
      </c>
      <c r="C29" s="4">
        <v>4.6124137323174272</v>
      </c>
      <c r="D29" s="4">
        <v>7.8478172361087603E-2</v>
      </c>
      <c r="E29" s="4">
        <v>4.0341073883002094</v>
      </c>
      <c r="F29" s="4">
        <v>0</v>
      </c>
      <c r="G29" s="4">
        <v>0.99427751282271271</v>
      </c>
      <c r="H29" s="4">
        <v>0</v>
      </c>
    </row>
    <row r="30" spans="1:15" x14ac:dyDescent="0.25">
      <c r="B30" s="4">
        <v>60</v>
      </c>
      <c r="C30" s="4">
        <v>3.6340305993465361</v>
      </c>
      <c r="D30" s="4">
        <v>8.07213306419267E-2</v>
      </c>
      <c r="E30" s="4">
        <v>4.8423743787212654</v>
      </c>
      <c r="F30" s="4">
        <v>0</v>
      </c>
      <c r="G30" s="4">
        <v>1.481323314496737</v>
      </c>
      <c r="H30" s="4">
        <v>0</v>
      </c>
      <c r="M30" s="4" t="s">
        <v>48</v>
      </c>
      <c r="N30">
        <f>C27-C31</f>
        <v>2.4219653758902289</v>
      </c>
    </row>
    <row r="31" spans="1:15" x14ac:dyDescent="0.25">
      <c r="A31" t="s">
        <v>4</v>
      </c>
      <c r="B31" s="4">
        <v>120</v>
      </c>
      <c r="C31" s="4">
        <v>3.3346635070568271</v>
      </c>
      <c r="D31" s="4">
        <v>1.076138315551598E-2</v>
      </c>
      <c r="E31" s="4">
        <v>4.8353388436943812</v>
      </c>
      <c r="F31" s="4">
        <v>0</v>
      </c>
      <c r="G31" s="4">
        <v>1.9572255817523909</v>
      </c>
      <c r="H31" s="4">
        <v>0</v>
      </c>
      <c r="M31" s="4" t="s">
        <v>49</v>
      </c>
      <c r="N31">
        <f>C36-C31</f>
        <v>3.1174708940029396</v>
      </c>
    </row>
    <row r="32" spans="1:15" x14ac:dyDescent="0.25">
      <c r="B32" s="4">
        <v>127</v>
      </c>
      <c r="C32" s="4">
        <v>3.923671887739582</v>
      </c>
      <c r="D32" s="4">
        <v>4.7333556803158483E-2</v>
      </c>
      <c r="E32" s="4">
        <v>5.0661528437487799</v>
      </c>
      <c r="F32" s="4">
        <v>0</v>
      </c>
      <c r="G32" s="4">
        <v>1.9315070592604271</v>
      </c>
      <c r="H32" s="4">
        <v>0</v>
      </c>
      <c r="M32" s="14" t="s">
        <v>47</v>
      </c>
      <c r="N32">
        <f>N30/C6</f>
        <v>0.40447458872340381</v>
      </c>
    </row>
    <row r="33" spans="1:12" x14ac:dyDescent="0.25">
      <c r="B33" s="4">
        <v>135</v>
      </c>
      <c r="C33" s="4">
        <v>3.837934228449615</v>
      </c>
      <c r="D33" s="4">
        <v>5.1345026167842943E-2</v>
      </c>
      <c r="E33" s="4">
        <v>4.7072023344719378</v>
      </c>
      <c r="F33" s="4">
        <v>0</v>
      </c>
      <c r="G33" s="4">
        <v>1.7523921542800389</v>
      </c>
      <c r="H33" s="4">
        <v>0</v>
      </c>
    </row>
    <row r="34" spans="1:12" x14ac:dyDescent="0.25">
      <c r="B34" s="4">
        <v>160</v>
      </c>
      <c r="C34" s="4">
        <v>4.3464728999656144</v>
      </c>
      <c r="D34" s="4">
        <v>4.5386488499752978E-2</v>
      </c>
      <c r="E34" s="4">
        <v>4.7368831961863416</v>
      </c>
      <c r="F34" s="4">
        <v>0</v>
      </c>
      <c r="G34" s="4">
        <v>1.6550236785190491</v>
      </c>
      <c r="H34" s="4">
        <v>0</v>
      </c>
    </row>
    <row r="35" spans="1:12" x14ac:dyDescent="0.25">
      <c r="B35" s="4">
        <v>190</v>
      </c>
      <c r="C35" s="4">
        <v>5.3578066295523454</v>
      </c>
      <c r="D35" s="4">
        <v>8.9736630963051386E-2</v>
      </c>
      <c r="E35" s="4">
        <v>2.4276560462370802</v>
      </c>
      <c r="F35" s="4">
        <v>0</v>
      </c>
      <c r="G35" s="4">
        <v>0.75081255342219755</v>
      </c>
      <c r="H35" s="4">
        <v>0</v>
      </c>
    </row>
    <row r="36" spans="1:12" x14ac:dyDescent="0.25">
      <c r="A36" t="s">
        <v>5</v>
      </c>
      <c r="B36" s="4">
        <v>254</v>
      </c>
      <c r="C36" s="4">
        <v>6.4521344010597668</v>
      </c>
      <c r="D36" s="4">
        <v>0.18111636657845179</v>
      </c>
      <c r="E36" s="4">
        <v>0.68794641811995394</v>
      </c>
      <c r="F36" s="4">
        <v>8.0976360754460019E-3</v>
      </c>
      <c r="G36" s="4">
        <v>0.17358264693190481</v>
      </c>
      <c r="H36" s="4">
        <v>9.5313479272167573E-3</v>
      </c>
    </row>
    <row r="37" spans="1:12" s="6" customFormat="1" x14ac:dyDescent="0.25">
      <c r="B37" s="7"/>
      <c r="C37" s="7">
        <f>C36-C31</f>
        <v>3.1174708940029396</v>
      </c>
      <c r="D37" s="7">
        <f>C27-C31</f>
        <v>2.4219653758902289</v>
      </c>
      <c r="E37" s="7">
        <f>C37-D37</f>
        <v>0.69550551811271077</v>
      </c>
      <c r="F37" s="7">
        <f>E37*6</f>
        <v>4.1730331086762646</v>
      </c>
      <c r="G37" s="7"/>
      <c r="H37" s="7"/>
      <c r="L37" s="7"/>
    </row>
    <row r="38" spans="1:12" x14ac:dyDescent="0.25">
      <c r="A38" s="2" t="s">
        <v>6</v>
      </c>
    </row>
    <row r="39" spans="1:12" x14ac:dyDescent="0.25">
      <c r="B39" s="4" t="s">
        <v>0</v>
      </c>
      <c r="C39" s="4" t="s">
        <v>32</v>
      </c>
      <c r="D39" s="4" t="s">
        <v>2</v>
      </c>
      <c r="E39" s="4" t="s">
        <v>7</v>
      </c>
      <c r="F39" s="4" t="s">
        <v>2</v>
      </c>
    </row>
    <row r="40" spans="1:12" x14ac:dyDescent="0.25">
      <c r="B40" s="4" t="s">
        <v>33</v>
      </c>
      <c r="C40" s="8">
        <v>0.46429458759022468</v>
      </c>
      <c r="D40" s="8">
        <v>2.0957827325494009E-3</v>
      </c>
      <c r="E40" s="8">
        <v>0.91992054575157067</v>
      </c>
      <c r="F40" s="8">
        <v>4.119449341056014E-3</v>
      </c>
    </row>
    <row r="41" spans="1:12" x14ac:dyDescent="0.25">
      <c r="B41" s="4" t="s">
        <v>8</v>
      </c>
      <c r="C41" s="8">
        <v>1.8865000000000001</v>
      </c>
      <c r="D41" s="8">
        <v>1.472188309880262E-2</v>
      </c>
      <c r="E41" s="8">
        <v>1.807821771949196</v>
      </c>
      <c r="F41" s="8">
        <v>1.8885961683745681E-2</v>
      </c>
      <c r="H41">
        <v>0</v>
      </c>
      <c r="I41">
        <f>C41/1.5</f>
        <v>1.2576666666666667</v>
      </c>
    </row>
    <row r="42" spans="1:12" x14ac:dyDescent="0.25">
      <c r="B42" s="4" t="s">
        <v>34</v>
      </c>
      <c r="C42" s="8">
        <v>1.8127</v>
      </c>
      <c r="D42" s="8">
        <v>1.9931175794441262E-2</v>
      </c>
      <c r="E42" s="8">
        <v>1.8790689227669839</v>
      </c>
      <c r="F42" s="8">
        <v>1.2668610244787489E-2</v>
      </c>
    </row>
    <row r="43" spans="1:12" x14ac:dyDescent="0.25">
      <c r="B43" s="4" t="s">
        <v>9</v>
      </c>
      <c r="C43" s="8">
        <v>1.833159130987313</v>
      </c>
      <c r="D43" s="8">
        <v>2.2018034226478629E-3</v>
      </c>
      <c r="E43" s="8">
        <v>1.90568512743028</v>
      </c>
      <c r="F43" s="8">
        <v>1.0504361750899079E-2</v>
      </c>
      <c r="H43">
        <v>5</v>
      </c>
      <c r="I43">
        <f t="shared" ref="I43:I47" si="0">C43/1.5</f>
        <v>1.2221060873248752</v>
      </c>
    </row>
    <row r="44" spans="1:12" x14ac:dyDescent="0.25">
      <c r="B44" s="4" t="s">
        <v>10</v>
      </c>
      <c r="C44" s="8">
        <v>1.8183337260025561</v>
      </c>
      <c r="D44" s="8">
        <v>1.670272084073998E-3</v>
      </c>
      <c r="E44" s="8">
        <v>2.0347479159806028</v>
      </c>
      <c r="F44" s="8">
        <v>2.610432042565058E-3</v>
      </c>
      <c r="H44">
        <v>10</v>
      </c>
      <c r="I44">
        <f t="shared" si="0"/>
        <v>1.212222484001704</v>
      </c>
    </row>
    <row r="45" spans="1:12" x14ac:dyDescent="0.25">
      <c r="B45" s="4" t="s">
        <v>35</v>
      </c>
      <c r="C45" s="8">
        <v>1.795118764591231</v>
      </c>
      <c r="D45" s="8">
        <v>4.1908515210575809E-4</v>
      </c>
      <c r="E45" s="8">
        <v>2.2997194403011578</v>
      </c>
      <c r="F45" s="8">
        <v>4.8557167670737478E-4</v>
      </c>
      <c r="H45">
        <v>20</v>
      </c>
      <c r="I45">
        <f t="shared" si="0"/>
        <v>1.1967458430608207</v>
      </c>
    </row>
    <row r="46" spans="1:12" x14ac:dyDescent="0.25">
      <c r="B46" s="4" t="s">
        <v>11</v>
      </c>
      <c r="C46" s="8">
        <v>1.7380214468789941</v>
      </c>
      <c r="D46" s="8">
        <v>4.0705519501381682E-3</v>
      </c>
      <c r="E46" s="8">
        <v>2.688325455707727</v>
      </c>
      <c r="F46" s="8">
        <v>4.4456766686683753E-2</v>
      </c>
      <c r="H46">
        <v>40</v>
      </c>
      <c r="I46">
        <f t="shared" si="0"/>
        <v>1.1586809645859961</v>
      </c>
    </row>
    <row r="47" spans="1:12" x14ac:dyDescent="0.25">
      <c r="B47" s="4" t="s">
        <v>12</v>
      </c>
      <c r="C47" s="8">
        <v>1.7004958341365199</v>
      </c>
      <c r="D47" s="8">
        <v>1.3235451605303259E-2</v>
      </c>
      <c r="E47" s="8">
        <v>2.7186497943423151</v>
      </c>
      <c r="F47" s="8">
        <v>1.413242805209558E-2</v>
      </c>
      <c r="H47">
        <v>60</v>
      </c>
      <c r="I47">
        <f t="shared" si="0"/>
        <v>1.1336638894243467</v>
      </c>
    </row>
    <row r="48" spans="1:12" x14ac:dyDescent="0.25">
      <c r="B48" s="4" t="s">
        <v>13</v>
      </c>
      <c r="C48" s="8">
        <v>1.6650242384001941</v>
      </c>
      <c r="D48" s="8">
        <v>7.5753032477315907E-3</v>
      </c>
      <c r="E48" s="8">
        <v>2.7845648580413118</v>
      </c>
      <c r="F48" s="8">
        <v>9.2836526354522775E-4</v>
      </c>
    </row>
    <row r="49" spans="1:9" x14ac:dyDescent="0.25">
      <c r="A49" t="s">
        <v>4</v>
      </c>
      <c r="B49" s="4" t="s">
        <v>14</v>
      </c>
      <c r="C49" s="8">
        <v>1.622572768746386</v>
      </c>
      <c r="D49" s="8">
        <v>0</v>
      </c>
      <c r="E49" s="8">
        <v>2.8334029082644041</v>
      </c>
      <c r="F49" s="8">
        <v>4.9094718762308087E-3</v>
      </c>
      <c r="H49">
        <v>120</v>
      </c>
      <c r="I49">
        <v>1.622572768746386</v>
      </c>
    </row>
    <row r="50" spans="1:9" x14ac:dyDescent="0.25">
      <c r="B50" s="4" t="s">
        <v>15</v>
      </c>
      <c r="C50" s="8">
        <v>1.6040659113138711</v>
      </c>
      <c r="D50" s="8">
        <v>0</v>
      </c>
      <c r="E50" s="8">
        <v>2.8388678496019222</v>
      </c>
      <c r="F50" s="8">
        <v>2.1255545009007729E-2</v>
      </c>
      <c r="H50">
        <v>122</v>
      </c>
      <c r="I50">
        <v>1.6040659113138711</v>
      </c>
    </row>
    <row r="51" spans="1:9" x14ac:dyDescent="0.25">
      <c r="B51" s="4" t="s">
        <v>16</v>
      </c>
      <c r="C51" s="8">
        <v>1.5726962810654901</v>
      </c>
      <c r="D51" s="8">
        <v>3.6018476871779731E-4</v>
      </c>
      <c r="E51" s="8">
        <v>2.7783704292014542</v>
      </c>
      <c r="F51" s="8">
        <v>2.0052754263280459E-2</v>
      </c>
      <c r="H51">
        <v>125</v>
      </c>
      <c r="I51">
        <v>1.5726962810654901</v>
      </c>
    </row>
    <row r="52" spans="1:9" x14ac:dyDescent="0.25">
      <c r="B52" s="4" t="s">
        <v>17</v>
      </c>
      <c r="C52" s="8">
        <v>1.519016970449856</v>
      </c>
      <c r="D52" s="8">
        <v>5.3635046085087623E-3</v>
      </c>
      <c r="E52" s="8">
        <v>2.759462513479134</v>
      </c>
      <c r="F52" s="8">
        <v>3.115859210042204E-3</v>
      </c>
      <c r="H52">
        <v>130</v>
      </c>
      <c r="I52">
        <v>1.519016970449856</v>
      </c>
    </row>
    <row r="53" spans="1:9" x14ac:dyDescent="0.25">
      <c r="B53" s="4" t="s">
        <v>18</v>
      </c>
      <c r="C53" s="8">
        <v>1.496358528418543</v>
      </c>
      <c r="D53" s="8">
        <v>1.166049105071143E-2</v>
      </c>
      <c r="E53" s="8">
        <v>2.7036427561358312</v>
      </c>
      <c r="F53" s="8">
        <v>9.2775184187927628E-3</v>
      </c>
      <c r="H53">
        <v>135</v>
      </c>
      <c r="I53">
        <v>1.496358528418543</v>
      </c>
    </row>
    <row r="54" spans="1:9" x14ac:dyDescent="0.25">
      <c r="B54" s="4" t="s">
        <v>36</v>
      </c>
      <c r="C54" s="8">
        <v>1.462468318733178</v>
      </c>
      <c r="D54" s="8">
        <v>7.472495305818061E-3</v>
      </c>
      <c r="E54" s="8">
        <v>2.5606373773963811</v>
      </c>
      <c r="F54" s="8">
        <v>2.4969167489943041E-2</v>
      </c>
      <c r="H54">
        <v>145</v>
      </c>
      <c r="I54">
        <v>1.462468318733178</v>
      </c>
    </row>
    <row r="55" spans="1:9" x14ac:dyDescent="0.25">
      <c r="B55" s="4" t="s">
        <v>37</v>
      </c>
      <c r="C55" s="8">
        <v>1.3796404577809189</v>
      </c>
      <c r="D55" s="8">
        <v>4.3693375313247351E-4</v>
      </c>
      <c r="E55" s="8">
        <v>2.315517146749833</v>
      </c>
      <c r="F55" s="8">
        <v>1.096894794955672E-3</v>
      </c>
      <c r="H55">
        <v>160</v>
      </c>
      <c r="I55">
        <v>1.3796404577809189</v>
      </c>
    </row>
    <row r="56" spans="1:9" x14ac:dyDescent="0.25">
      <c r="B56" s="4" t="s">
        <v>19</v>
      </c>
      <c r="C56" s="8">
        <v>1.222510298642792</v>
      </c>
      <c r="D56" s="8">
        <v>9.9559496526657743E-4</v>
      </c>
      <c r="E56" s="8">
        <v>1.9541381748445461</v>
      </c>
      <c r="F56" s="8">
        <v>1.9857105037159868E-3</v>
      </c>
      <c r="H56">
        <v>190</v>
      </c>
      <c r="I56">
        <v>1.222510298642792</v>
      </c>
    </row>
    <row r="57" spans="1:9" x14ac:dyDescent="0.25">
      <c r="B57" s="4" t="s">
        <v>20</v>
      </c>
      <c r="C57" s="8">
        <v>1.0666734491350569</v>
      </c>
      <c r="D57" s="8">
        <v>1.881599520229593E-3</v>
      </c>
      <c r="E57" s="8">
        <v>1.740384615384615</v>
      </c>
      <c r="F57" s="8">
        <v>2.755393267858675E-3</v>
      </c>
      <c r="H57">
        <v>220</v>
      </c>
      <c r="I57">
        <v>1.0666734491350569</v>
      </c>
    </row>
    <row r="58" spans="1:9" x14ac:dyDescent="0.25">
      <c r="A58" t="s">
        <v>5</v>
      </c>
      <c r="B58" s="4" t="s">
        <v>21</v>
      </c>
      <c r="C58" s="8">
        <v>0.94350596500246309</v>
      </c>
      <c r="D58" s="8">
        <v>1.091013586355105E-2</v>
      </c>
      <c r="E58" s="8">
        <v>1.610842389374245</v>
      </c>
      <c r="F58" s="8">
        <v>4.7833975811815144E-3</v>
      </c>
      <c r="G58">
        <f>(C41-C58)*14*1.5</f>
        <v>19.802874734948276</v>
      </c>
      <c r="H58">
        <v>254</v>
      </c>
      <c r="I58">
        <v>0.94350596500246309</v>
      </c>
    </row>
    <row r="59" spans="1:9" x14ac:dyDescent="0.25">
      <c r="B59" s="4" t="s">
        <v>22</v>
      </c>
      <c r="C59" s="8">
        <v>29.086044535829281</v>
      </c>
      <c r="D59" s="8">
        <v>2.3524456153126039E-2</v>
      </c>
      <c r="E59" s="8">
        <v>19.048805764872249</v>
      </c>
      <c r="F59" s="8">
        <v>3.0961651460259532E-3</v>
      </c>
    </row>
    <row r="60" spans="1:9" x14ac:dyDescent="0.25">
      <c r="D60">
        <f>C58/2+C59/20</f>
        <v>1.9260552092926955</v>
      </c>
      <c r="G60">
        <f>E59/20+E58/2</f>
        <v>1.7578614829307351</v>
      </c>
    </row>
    <row r="61" spans="1:9" x14ac:dyDescent="0.25">
      <c r="D61" s="12">
        <f>C41-C58</f>
        <v>0.94299403499753698</v>
      </c>
      <c r="E61">
        <f>D61*14</f>
        <v>13.201916489965518</v>
      </c>
      <c r="G61" s="12">
        <f>E49-G60</f>
        <v>1.075541425333669</v>
      </c>
    </row>
    <row r="62" spans="1:9" x14ac:dyDescent="0.25">
      <c r="D62" s="12">
        <f>C49-C58</f>
        <v>0.67906680374392292</v>
      </c>
      <c r="E62">
        <f>D62*14</f>
        <v>9.5069352524149213</v>
      </c>
      <c r="G62" s="12">
        <f>E49-E58</f>
        <v>1.2225605188901592</v>
      </c>
      <c r="H62" s="12">
        <f>G62-G61</f>
        <v>0.14701909355649012</v>
      </c>
    </row>
    <row r="72" spans="1:6" x14ac:dyDescent="0.25">
      <c r="A72">
        <v>0</v>
      </c>
      <c r="B72">
        <v>5.756628882947056</v>
      </c>
      <c r="C72">
        <v>0</v>
      </c>
      <c r="D72">
        <v>0.95884461318458403</v>
      </c>
      <c r="E72">
        <v>0</v>
      </c>
      <c r="F72">
        <v>0.2943732407834132</v>
      </c>
    </row>
    <row r="73" spans="1:6" x14ac:dyDescent="0.25">
      <c r="A73">
        <v>10</v>
      </c>
      <c r="B73">
        <v>5.2452033962189288</v>
      </c>
      <c r="C73">
        <v>10</v>
      </c>
      <c r="D73">
        <v>2.0698587783853228</v>
      </c>
      <c r="E73">
        <v>10</v>
      </c>
      <c r="F73">
        <v>0.5617034157069285</v>
      </c>
    </row>
    <row r="74" spans="1:6" x14ac:dyDescent="0.25">
      <c r="A74">
        <v>25</v>
      </c>
      <c r="B74">
        <v>4.6124137323174272</v>
      </c>
      <c r="C74">
        <v>25</v>
      </c>
      <c r="D74">
        <v>4.0341073883002094</v>
      </c>
      <c r="E74">
        <v>25</v>
      </c>
      <c r="F74">
        <v>0.99427751282271271</v>
      </c>
    </row>
    <row r="75" spans="1:6" x14ac:dyDescent="0.25">
      <c r="A75">
        <v>60</v>
      </c>
      <c r="B75">
        <v>3.6340305993465361</v>
      </c>
      <c r="C75">
        <v>60</v>
      </c>
      <c r="D75">
        <v>4.8423743787212654</v>
      </c>
      <c r="E75">
        <v>60</v>
      </c>
      <c r="F75">
        <v>1.481323314496737</v>
      </c>
    </row>
    <row r="76" spans="1:6" x14ac:dyDescent="0.25">
      <c r="A76">
        <v>120</v>
      </c>
      <c r="B76">
        <v>3.3346635070568271</v>
      </c>
      <c r="C76">
        <v>120</v>
      </c>
      <c r="D76">
        <v>4.8353388436943812</v>
      </c>
      <c r="E76">
        <v>120</v>
      </c>
      <c r="F76">
        <v>1.9572255817523909</v>
      </c>
    </row>
    <row r="77" spans="1:6" x14ac:dyDescent="0.25">
      <c r="A77">
        <v>127</v>
      </c>
      <c r="B77">
        <v>3.923671887739582</v>
      </c>
      <c r="C77">
        <v>127</v>
      </c>
      <c r="D77">
        <v>5.0661528437487799</v>
      </c>
      <c r="E77">
        <v>127</v>
      </c>
      <c r="F77">
        <v>1.9315070592604271</v>
      </c>
    </row>
    <row r="78" spans="1:6" x14ac:dyDescent="0.25">
      <c r="A78">
        <v>135</v>
      </c>
      <c r="B78">
        <v>3.837934228449615</v>
      </c>
      <c r="C78">
        <v>135</v>
      </c>
      <c r="D78">
        <v>4.7072023344719378</v>
      </c>
      <c r="E78">
        <v>135</v>
      </c>
      <c r="F78">
        <v>1.7523921542800389</v>
      </c>
    </row>
    <row r="79" spans="1:6" x14ac:dyDescent="0.25">
      <c r="A79">
        <v>160</v>
      </c>
      <c r="B79">
        <v>4.3464728999656144</v>
      </c>
      <c r="C79">
        <v>160</v>
      </c>
      <c r="D79">
        <v>4.7368831961863416</v>
      </c>
      <c r="E79">
        <v>160</v>
      </c>
      <c r="F79">
        <v>1.6550236785190491</v>
      </c>
    </row>
    <row r="80" spans="1:6" x14ac:dyDescent="0.25">
      <c r="A80">
        <v>190</v>
      </c>
      <c r="B80">
        <v>5.3578066295523454</v>
      </c>
      <c r="C80">
        <v>190</v>
      </c>
      <c r="D80">
        <v>2.4276560462370802</v>
      </c>
      <c r="E80">
        <v>190</v>
      </c>
      <c r="F80">
        <v>0.75081255342219755</v>
      </c>
    </row>
    <row r="81" spans="1:6" x14ac:dyDescent="0.25">
      <c r="A81">
        <v>254</v>
      </c>
      <c r="B81">
        <v>6.4521344010597668</v>
      </c>
      <c r="C81">
        <v>254</v>
      </c>
      <c r="D81">
        <v>0.68794641811995394</v>
      </c>
      <c r="E81">
        <v>254</v>
      </c>
      <c r="F81">
        <v>0.17358264693190481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BEDF-F351-4310-B77E-0A99720DE0A0}">
  <dimension ref="A1:H327"/>
  <sheetViews>
    <sheetView tabSelected="1" workbookViewId="0">
      <selection sqref="A1:A1048576"/>
    </sheetView>
  </sheetViews>
  <sheetFormatPr defaultRowHeight="15" x14ac:dyDescent="0.25"/>
  <cols>
    <col min="1" max="1" width="12.140625" style="15" customWidth="1"/>
    <col min="2" max="4" width="9.140625" style="20"/>
    <col min="5" max="5" width="14.42578125" style="20" customWidth="1"/>
    <col min="6" max="7" width="9.140625" style="20"/>
    <col min="8" max="8" width="9.140625" style="23"/>
  </cols>
  <sheetData>
    <row r="1" spans="1:8" x14ac:dyDescent="0.25">
      <c r="B1" s="16" t="s">
        <v>51</v>
      </c>
      <c r="C1" s="17"/>
      <c r="D1" s="17"/>
      <c r="E1" s="17"/>
      <c r="F1" s="17"/>
      <c r="G1" s="17"/>
      <c r="H1" s="21"/>
    </row>
    <row r="2" spans="1:8" x14ac:dyDescent="0.25">
      <c r="A2" s="18" t="s">
        <v>0</v>
      </c>
      <c r="B2" s="19" t="s">
        <v>23</v>
      </c>
      <c r="C2" s="19" t="s">
        <v>24</v>
      </c>
      <c r="D2" s="19" t="s">
        <v>25</v>
      </c>
      <c r="E2" s="19" t="s">
        <v>26</v>
      </c>
      <c r="F2" s="19" t="s">
        <v>27</v>
      </c>
      <c r="G2" s="19" t="s">
        <v>28</v>
      </c>
      <c r="H2" s="22" t="s">
        <v>50</v>
      </c>
    </row>
    <row r="3" spans="1:8" x14ac:dyDescent="0.25">
      <c r="A3" s="24">
        <v>0.87383333593606949</v>
      </c>
      <c r="B3" s="20">
        <v>99.642600000000002</v>
      </c>
      <c r="C3" s="20">
        <v>1.1299999999999999E-2</v>
      </c>
      <c r="D3" s="20">
        <v>0.13389999999999999</v>
      </c>
      <c r="E3" s="20">
        <v>0.2026</v>
      </c>
      <c r="F3" s="20">
        <v>1.5E-3</v>
      </c>
      <c r="G3" s="20">
        <v>8.2000000000000007E-3</v>
      </c>
      <c r="H3" s="23">
        <v>0.87383333593606949</v>
      </c>
    </row>
    <row r="4" spans="1:8" x14ac:dyDescent="0.25">
      <c r="A4" s="24">
        <v>1.640833333134651</v>
      </c>
      <c r="B4" s="20">
        <v>99.654700000000005</v>
      </c>
      <c r="C4" s="20">
        <v>9.5999999999999992E-3</v>
      </c>
      <c r="D4" s="20">
        <v>9.5500000000000002E-2</v>
      </c>
      <c r="E4" s="20">
        <v>0.22900000000000001</v>
      </c>
      <c r="F4" s="20">
        <v>3.0000000000000001E-3</v>
      </c>
      <c r="G4" s="20">
        <v>8.2000000000000007E-3</v>
      </c>
      <c r="H4" s="23">
        <v>0.7669999971985817</v>
      </c>
    </row>
    <row r="5" spans="1:8" x14ac:dyDescent="0.25">
      <c r="A5" s="24">
        <v>2.405499998480082</v>
      </c>
      <c r="B5" s="20">
        <v>99.664599999999993</v>
      </c>
      <c r="C5" s="20">
        <v>7.7999999999999996E-3</v>
      </c>
      <c r="D5" s="20">
        <v>7.0900000000000005E-2</v>
      </c>
      <c r="E5" s="20">
        <v>0.2452</v>
      </c>
      <c r="F5" s="20">
        <v>3.5999999999999999E-3</v>
      </c>
      <c r="G5" s="20">
        <v>7.9000000000000008E-3</v>
      </c>
      <c r="H5" s="23">
        <v>0.76466666534543037</v>
      </c>
    </row>
    <row r="6" spans="1:8" x14ac:dyDescent="0.25">
      <c r="A6" s="24">
        <v>3.1726666688919072</v>
      </c>
      <c r="B6" s="20">
        <v>99.662499999999994</v>
      </c>
      <c r="C6" s="20">
        <v>6.7000000000000002E-3</v>
      </c>
      <c r="D6" s="20">
        <v>5.3999999999999999E-2</v>
      </c>
      <c r="E6" s="20">
        <v>0.26390000000000002</v>
      </c>
      <c r="F6" s="20">
        <v>4.7000000000000002E-3</v>
      </c>
      <c r="G6" s="20">
        <v>8.0999999999999996E-3</v>
      </c>
      <c r="H6" s="23">
        <v>0.76716667041182518</v>
      </c>
    </row>
    <row r="7" spans="1:8" x14ac:dyDescent="0.25">
      <c r="A7" s="24">
        <v>3.940000001341105</v>
      </c>
      <c r="B7" s="20">
        <v>99.64</v>
      </c>
      <c r="C7" s="20">
        <v>6.1999999999999998E-3</v>
      </c>
      <c r="D7" s="20">
        <v>4.7300000000000002E-2</v>
      </c>
      <c r="E7" s="20">
        <v>0.29320000000000002</v>
      </c>
      <c r="F7" s="20">
        <v>5.7999999999999996E-3</v>
      </c>
      <c r="G7" s="20">
        <v>7.3000000000000001E-3</v>
      </c>
      <c r="H7" s="23">
        <v>0.76733333244919777</v>
      </c>
    </row>
    <row r="8" spans="1:8" x14ac:dyDescent="0.25">
      <c r="A8" s="24">
        <v>4.8191666714847088</v>
      </c>
      <c r="B8" s="20">
        <v>99.638999999999996</v>
      </c>
      <c r="C8" s="20">
        <v>5.3E-3</v>
      </c>
      <c r="D8" s="20">
        <v>3.5700000000000003E-2</v>
      </c>
      <c r="E8" s="20">
        <v>0.30659999999999998</v>
      </c>
      <c r="F8" s="20">
        <v>6.1999999999999998E-3</v>
      </c>
      <c r="G8" s="20">
        <v>7.3000000000000001E-3</v>
      </c>
      <c r="H8" s="23">
        <v>0.87916667014360428</v>
      </c>
    </row>
    <row r="9" spans="1:8" x14ac:dyDescent="0.25">
      <c r="A9" s="24">
        <v>5.5781666673719883</v>
      </c>
      <c r="B9" s="20">
        <v>99.624600000000001</v>
      </c>
      <c r="C9" s="20">
        <v>4.7000000000000002E-3</v>
      </c>
      <c r="D9" s="20">
        <v>3.0800000000000001E-2</v>
      </c>
      <c r="E9" s="20">
        <v>0.32479999999999998</v>
      </c>
      <c r="F9" s="20">
        <v>7.3000000000000001E-3</v>
      </c>
      <c r="G9" s="20">
        <v>7.7999999999999996E-3</v>
      </c>
      <c r="H9" s="23">
        <v>0.75899999588727951</v>
      </c>
    </row>
    <row r="10" spans="1:8" x14ac:dyDescent="0.25">
      <c r="A10" s="24">
        <v>6.3390000015497208</v>
      </c>
      <c r="B10" s="20">
        <v>99.598600000000005</v>
      </c>
      <c r="C10" s="20">
        <v>4.1000000000000003E-3</v>
      </c>
      <c r="D10" s="20">
        <v>2.58E-2</v>
      </c>
      <c r="E10" s="20">
        <v>0.35560000000000003</v>
      </c>
      <c r="F10" s="20">
        <v>8.3999999999999995E-3</v>
      </c>
      <c r="G10" s="20">
        <v>7.6E-3</v>
      </c>
      <c r="H10" s="23">
        <v>0.76083333417773247</v>
      </c>
    </row>
    <row r="11" spans="1:8" x14ac:dyDescent="0.25">
      <c r="A11" s="24">
        <v>7.0985000021755704</v>
      </c>
      <c r="B11" s="20">
        <v>99.566699999999997</v>
      </c>
      <c r="C11" s="20">
        <v>4.1000000000000003E-3</v>
      </c>
      <c r="D11" s="20">
        <v>2.5999999999999999E-2</v>
      </c>
      <c r="E11" s="20">
        <v>0.38669999999999999</v>
      </c>
      <c r="F11" s="20">
        <v>8.9999999999999993E-3</v>
      </c>
      <c r="G11" s="20">
        <v>7.4999999999999997E-3</v>
      </c>
      <c r="H11" s="23">
        <v>0.75950000062584877</v>
      </c>
    </row>
    <row r="12" spans="1:8" x14ac:dyDescent="0.25">
      <c r="A12" s="24">
        <v>7.9736666679382324</v>
      </c>
      <c r="B12" s="20">
        <v>99.587900000000005</v>
      </c>
      <c r="C12" s="20">
        <v>4.0000000000000001E-3</v>
      </c>
      <c r="D12" s="20">
        <v>2.3800000000000002E-2</v>
      </c>
      <c r="E12" s="20">
        <v>0.36799999999999999</v>
      </c>
      <c r="F12" s="20">
        <v>8.3000000000000001E-3</v>
      </c>
      <c r="G12" s="20">
        <v>7.7999999999999996E-3</v>
      </c>
      <c r="H12" s="23">
        <v>0.87516666576266289</v>
      </c>
    </row>
    <row r="13" spans="1:8" x14ac:dyDescent="0.25">
      <c r="A13" s="24">
        <v>8.7348333336412907</v>
      </c>
      <c r="B13" s="20">
        <v>99.5779</v>
      </c>
      <c r="C13" s="20">
        <v>3.8999999999999998E-3</v>
      </c>
      <c r="D13" s="20">
        <v>2.1600000000000001E-2</v>
      </c>
      <c r="E13" s="20">
        <v>0.38019999999999998</v>
      </c>
      <c r="F13" s="20">
        <v>8.8000000000000005E-3</v>
      </c>
      <c r="G13" s="20">
        <v>7.7000000000000002E-3</v>
      </c>
      <c r="H13" s="23">
        <v>0.76116666570305824</v>
      </c>
    </row>
    <row r="14" spans="1:8" x14ac:dyDescent="0.25">
      <c r="A14" s="24">
        <v>9.4936666674911976</v>
      </c>
      <c r="B14" s="20">
        <v>99.5548</v>
      </c>
      <c r="C14" s="20">
        <v>3.7000000000000002E-3</v>
      </c>
      <c r="D14" s="20">
        <v>2.0899999999999998E-2</v>
      </c>
      <c r="E14" s="20">
        <v>0.40350000000000003</v>
      </c>
      <c r="F14" s="20">
        <v>9.4999999999999998E-3</v>
      </c>
      <c r="G14" s="20">
        <v>7.6E-3</v>
      </c>
      <c r="H14" s="23">
        <v>0.75883333384990692</v>
      </c>
    </row>
    <row r="15" spans="1:8" x14ac:dyDescent="0.25">
      <c r="A15" s="24">
        <v>10.25033333525062</v>
      </c>
      <c r="B15" s="20">
        <v>99.520499999999998</v>
      </c>
      <c r="C15" s="20">
        <v>3.3999999999999998E-3</v>
      </c>
      <c r="D15" s="20">
        <v>2.1700000000000001E-2</v>
      </c>
      <c r="E15" s="20">
        <v>0.43709999999999999</v>
      </c>
      <c r="F15" s="20">
        <v>9.1999999999999998E-3</v>
      </c>
      <c r="G15" s="20">
        <v>8.0999999999999996E-3</v>
      </c>
      <c r="H15" s="23">
        <v>0.75666666775941849</v>
      </c>
    </row>
    <row r="16" spans="1:8" x14ac:dyDescent="0.25">
      <c r="A16" s="24">
        <v>11.007833335548639</v>
      </c>
      <c r="B16" s="20">
        <v>99.481999999999999</v>
      </c>
      <c r="C16" s="20">
        <v>3.5999999999999999E-3</v>
      </c>
      <c r="D16" s="20">
        <v>1.66E-2</v>
      </c>
      <c r="E16" s="20">
        <v>0.48049999999999998</v>
      </c>
      <c r="F16" s="20">
        <v>9.7999999999999997E-3</v>
      </c>
      <c r="G16" s="20">
        <v>7.7000000000000002E-3</v>
      </c>
      <c r="H16" s="23">
        <v>0.75750000029802322</v>
      </c>
    </row>
    <row r="17" spans="1:8" x14ac:dyDescent="0.25">
      <c r="A17" s="24">
        <v>11.877166669815781</v>
      </c>
      <c r="B17" s="20">
        <v>99.4846</v>
      </c>
      <c r="C17" s="20">
        <v>3.3999999999999998E-3</v>
      </c>
      <c r="D17" s="20">
        <v>1.8100000000000002E-2</v>
      </c>
      <c r="E17" s="20">
        <v>0.47720000000000001</v>
      </c>
      <c r="F17" s="20">
        <v>9.5999999999999992E-3</v>
      </c>
      <c r="G17" s="20">
        <v>7.1000000000000004E-3</v>
      </c>
      <c r="H17" s="23">
        <v>0.86933333426713943</v>
      </c>
    </row>
    <row r="18" spans="1:8" x14ac:dyDescent="0.25">
      <c r="A18" s="24">
        <v>12.638333335518841</v>
      </c>
      <c r="B18" s="20">
        <v>99.459100000000007</v>
      </c>
      <c r="C18" s="20">
        <v>3.3999999999999998E-3</v>
      </c>
      <c r="D18" s="20">
        <v>1.95E-2</v>
      </c>
      <c r="E18" s="20">
        <v>0.501</v>
      </c>
      <c r="F18" s="20">
        <v>9.1999999999999998E-3</v>
      </c>
      <c r="G18" s="20">
        <v>7.9000000000000008E-3</v>
      </c>
      <c r="H18" s="23">
        <v>0.76116666570305824</v>
      </c>
    </row>
    <row r="19" spans="1:8" x14ac:dyDescent="0.25">
      <c r="A19" s="24">
        <v>13.395333334803579</v>
      </c>
      <c r="B19" s="20">
        <v>99.436000000000007</v>
      </c>
      <c r="C19" s="20">
        <v>3.2000000000000002E-3</v>
      </c>
      <c r="D19" s="20">
        <v>1.8499999999999999E-2</v>
      </c>
      <c r="E19" s="20">
        <v>0.52549999999999997</v>
      </c>
      <c r="F19" s="20">
        <v>9.1000000000000004E-3</v>
      </c>
      <c r="G19" s="20">
        <v>7.6E-3</v>
      </c>
      <c r="H19" s="23">
        <v>0.75699999928474426</v>
      </c>
    </row>
    <row r="20" spans="1:8" x14ac:dyDescent="0.25">
      <c r="A20" s="24">
        <v>14.156833332031971</v>
      </c>
      <c r="B20" s="20">
        <v>99.4</v>
      </c>
      <c r="C20" s="20">
        <v>3.2000000000000002E-3</v>
      </c>
      <c r="D20" s="20">
        <v>1.8100000000000002E-2</v>
      </c>
      <c r="E20" s="20">
        <v>0.56140000000000001</v>
      </c>
      <c r="F20" s="20">
        <v>9.5999999999999992E-3</v>
      </c>
      <c r="G20" s="20">
        <v>7.6E-3</v>
      </c>
      <c r="H20" s="23">
        <v>0.76149999722838402</v>
      </c>
    </row>
    <row r="21" spans="1:8" x14ac:dyDescent="0.25">
      <c r="A21" s="24">
        <v>15.018333334475759</v>
      </c>
      <c r="B21" s="20">
        <v>99.423100000000005</v>
      </c>
      <c r="C21" s="20">
        <v>3.0000000000000001E-3</v>
      </c>
      <c r="D21" s="20">
        <v>1.7500000000000002E-2</v>
      </c>
      <c r="E21" s="20">
        <v>0.53979999999999995</v>
      </c>
      <c r="F21" s="20">
        <v>9.1000000000000004E-3</v>
      </c>
      <c r="G21" s="20">
        <v>7.4999999999999997E-3</v>
      </c>
      <c r="H21" s="23">
        <v>0.86150000244379044</v>
      </c>
    </row>
    <row r="22" spans="1:8" x14ac:dyDescent="0.25">
      <c r="A22" s="24">
        <v>15.77749999985099</v>
      </c>
      <c r="B22" s="20">
        <v>99.420900000000003</v>
      </c>
      <c r="C22" s="20">
        <v>3.2000000000000002E-3</v>
      </c>
      <c r="D22" s="20">
        <v>1.7299999999999999E-2</v>
      </c>
      <c r="E22" s="20">
        <v>0.54159999999999997</v>
      </c>
      <c r="F22" s="20">
        <v>9.2999999999999992E-3</v>
      </c>
      <c r="G22" s="20">
        <v>7.7000000000000002E-3</v>
      </c>
      <c r="H22" s="23">
        <v>0.7591666653752327</v>
      </c>
    </row>
    <row r="23" spans="1:8" x14ac:dyDescent="0.25">
      <c r="A23" s="24">
        <v>16.537499997764829</v>
      </c>
      <c r="B23" s="20">
        <v>99.3947</v>
      </c>
      <c r="C23" s="20">
        <v>3.0000000000000001E-3</v>
      </c>
      <c r="D23" s="20">
        <v>1.67E-2</v>
      </c>
      <c r="E23" s="20">
        <v>0.56910000000000005</v>
      </c>
      <c r="F23" s="20">
        <v>9.1999999999999998E-3</v>
      </c>
      <c r="G23" s="20">
        <v>7.1999999999999998E-3</v>
      </c>
      <c r="H23" s="23">
        <v>0.75999999791383743</v>
      </c>
    </row>
    <row r="24" spans="1:8" x14ac:dyDescent="0.25">
      <c r="A24" s="24">
        <v>17.28683333098888</v>
      </c>
      <c r="B24" s="20">
        <v>99.370800000000003</v>
      </c>
      <c r="C24" s="20">
        <v>3.0999999999999999E-3</v>
      </c>
      <c r="D24" s="20">
        <v>1.6400000000000001E-2</v>
      </c>
      <c r="E24" s="20">
        <v>0.59340000000000004</v>
      </c>
      <c r="F24" s="20">
        <v>9.1000000000000004E-3</v>
      </c>
      <c r="G24" s="20">
        <v>7.1999999999999998E-3</v>
      </c>
      <c r="H24" s="23">
        <v>0.74933333322405815</v>
      </c>
    </row>
    <row r="25" spans="1:8" x14ac:dyDescent="0.25">
      <c r="A25" s="24">
        <v>18.045166671276089</v>
      </c>
      <c r="B25" s="20">
        <v>99.370599999999996</v>
      </c>
      <c r="C25" s="20">
        <v>2.8999999999999998E-3</v>
      </c>
      <c r="D25" s="20">
        <v>1.4E-2</v>
      </c>
      <c r="E25" s="20">
        <v>0.59540000000000004</v>
      </c>
      <c r="F25" s="20">
        <v>9.4999999999999998E-3</v>
      </c>
      <c r="G25" s="20">
        <v>7.4999999999999997E-3</v>
      </c>
      <c r="H25" s="23">
        <v>0.75833334028720856</v>
      </c>
    </row>
    <row r="26" spans="1:8" x14ac:dyDescent="0.25">
      <c r="A26" s="24">
        <v>18.914500001817942</v>
      </c>
      <c r="B26" s="20">
        <v>99.406300000000002</v>
      </c>
      <c r="C26" s="20">
        <v>3.3E-3</v>
      </c>
      <c r="D26" s="20">
        <v>1.5699999999999999E-2</v>
      </c>
      <c r="E26" s="20">
        <v>0.55710000000000004</v>
      </c>
      <c r="F26" s="20">
        <v>9.5999999999999992E-3</v>
      </c>
      <c r="G26" s="20">
        <v>8.0000000000000002E-3</v>
      </c>
      <c r="H26" s="23">
        <v>0.86933333054184914</v>
      </c>
    </row>
    <row r="27" spans="1:8" x14ac:dyDescent="0.25">
      <c r="A27" s="24">
        <v>19.672000002115961</v>
      </c>
      <c r="B27" s="20">
        <v>99.3874</v>
      </c>
      <c r="C27" s="20">
        <v>3.2000000000000002E-3</v>
      </c>
      <c r="D27" s="20">
        <v>1.55E-2</v>
      </c>
      <c r="E27" s="20">
        <v>0.57720000000000005</v>
      </c>
      <c r="F27" s="20">
        <v>9.1000000000000004E-3</v>
      </c>
      <c r="G27" s="20">
        <v>7.6E-3</v>
      </c>
      <c r="H27" s="23">
        <v>0.75750000029802322</v>
      </c>
    </row>
    <row r="28" spans="1:8" x14ac:dyDescent="0.25">
      <c r="A28" s="24">
        <v>20.432166665792469</v>
      </c>
      <c r="B28" s="20">
        <v>99.366600000000005</v>
      </c>
      <c r="C28" s="20">
        <v>3.0999999999999999E-3</v>
      </c>
      <c r="D28" s="20">
        <v>1.55E-2</v>
      </c>
      <c r="E28" s="20">
        <v>0.59770000000000001</v>
      </c>
      <c r="F28" s="20">
        <v>9.1999999999999998E-3</v>
      </c>
      <c r="G28" s="20">
        <v>7.9000000000000008E-3</v>
      </c>
      <c r="H28" s="23">
        <v>0.76016666367650032</v>
      </c>
    </row>
    <row r="29" spans="1:8" x14ac:dyDescent="0.25">
      <c r="A29" s="24">
        <v>21.1875</v>
      </c>
      <c r="B29" s="20">
        <v>99.353899999999996</v>
      </c>
      <c r="C29" s="20">
        <v>3.3999999999999998E-3</v>
      </c>
      <c r="D29" s="20">
        <v>1.55E-2</v>
      </c>
      <c r="E29" s="20">
        <v>0.60880000000000001</v>
      </c>
      <c r="F29" s="20">
        <v>1.0500000000000001E-2</v>
      </c>
      <c r="G29" s="20">
        <v>8.0000000000000002E-3</v>
      </c>
      <c r="H29" s="23">
        <v>0.75533333420753479</v>
      </c>
    </row>
    <row r="30" spans="1:8" x14ac:dyDescent="0.25">
      <c r="A30" s="24">
        <v>22.04749999940395</v>
      </c>
      <c r="B30" s="20">
        <v>99.344499999999996</v>
      </c>
      <c r="C30" s="20">
        <v>3.0999999999999999E-3</v>
      </c>
      <c r="D30" s="20">
        <v>1.54E-2</v>
      </c>
      <c r="E30" s="20">
        <v>0.62019999999999997</v>
      </c>
      <c r="F30" s="20">
        <v>9.4000000000000004E-3</v>
      </c>
      <c r="G30" s="20">
        <v>7.4000000000000003E-3</v>
      </c>
      <c r="H30" s="23">
        <v>0.85999999940395355</v>
      </c>
    </row>
    <row r="31" spans="1:8" x14ac:dyDescent="0.25">
      <c r="A31" s="24">
        <v>22.801166668534279</v>
      </c>
      <c r="B31" s="20">
        <v>99.335599999999999</v>
      </c>
      <c r="C31" s="20">
        <v>3.0000000000000001E-3</v>
      </c>
      <c r="D31" s="20">
        <v>1.54E-2</v>
      </c>
      <c r="E31" s="20">
        <v>0.62849999999999995</v>
      </c>
      <c r="F31" s="20">
        <v>1.01E-2</v>
      </c>
      <c r="G31" s="20">
        <v>7.4000000000000003E-3</v>
      </c>
      <c r="H31" s="23">
        <v>0.75366666913032532</v>
      </c>
    </row>
    <row r="32" spans="1:8" x14ac:dyDescent="0.25">
      <c r="A32" s="24">
        <v>23.55383333563805</v>
      </c>
      <c r="B32" s="20">
        <v>99.3142</v>
      </c>
      <c r="C32" s="20">
        <v>3.3E-3</v>
      </c>
      <c r="D32" s="20">
        <v>1.54E-2</v>
      </c>
      <c r="E32" s="20">
        <v>0.64990000000000003</v>
      </c>
      <c r="F32" s="20">
        <v>0.01</v>
      </c>
      <c r="G32" s="20">
        <v>7.3000000000000001E-3</v>
      </c>
      <c r="H32" s="23">
        <v>0.7526666671037674</v>
      </c>
    </row>
    <row r="33" spans="1:8" x14ac:dyDescent="0.25">
      <c r="A33" s="24">
        <v>24.303333334624771</v>
      </c>
      <c r="B33" s="20">
        <v>99.3035</v>
      </c>
      <c r="C33" s="20">
        <v>3.0999999999999999E-3</v>
      </c>
      <c r="D33" s="20">
        <v>1.49E-2</v>
      </c>
      <c r="E33" s="20">
        <v>0.66090000000000004</v>
      </c>
      <c r="F33" s="20">
        <v>9.7999999999999997E-3</v>
      </c>
      <c r="G33" s="20">
        <v>7.9000000000000008E-3</v>
      </c>
      <c r="H33" s="23">
        <v>0.74949999898672104</v>
      </c>
    </row>
    <row r="34" spans="1:8" x14ac:dyDescent="0.25">
      <c r="A34" s="24">
        <v>25.0523333363235</v>
      </c>
      <c r="B34" s="20">
        <v>99.281499999999994</v>
      </c>
      <c r="C34" s="20">
        <v>3.0000000000000001E-3</v>
      </c>
      <c r="D34" s="20">
        <v>1.2699999999999999E-2</v>
      </c>
      <c r="E34" s="20">
        <v>0.68530000000000002</v>
      </c>
      <c r="F34" s="20">
        <v>0.01</v>
      </c>
      <c r="G34" s="20">
        <v>7.4999999999999997E-3</v>
      </c>
      <c r="H34" s="23">
        <v>0.74900000169873238</v>
      </c>
    </row>
    <row r="35" spans="1:8" x14ac:dyDescent="0.25">
      <c r="A35" s="24">
        <v>25.914833333343271</v>
      </c>
      <c r="B35" s="20">
        <v>99.320700000000002</v>
      </c>
      <c r="C35" s="20">
        <v>3.0000000000000001E-3</v>
      </c>
      <c r="D35" s="20">
        <v>1.41E-2</v>
      </c>
      <c r="E35" s="20">
        <v>0.64590000000000003</v>
      </c>
      <c r="F35" s="20">
        <v>8.6E-3</v>
      </c>
      <c r="G35" s="20">
        <v>7.6E-3</v>
      </c>
      <c r="H35" s="23">
        <v>0.86249999701976776</v>
      </c>
    </row>
    <row r="36" spans="1:8" x14ac:dyDescent="0.25">
      <c r="A36" s="24">
        <v>26.66833333298564</v>
      </c>
      <c r="B36" s="20">
        <v>99.318299999999994</v>
      </c>
      <c r="C36" s="20">
        <v>3.0000000000000001E-3</v>
      </c>
      <c r="D36" s="20">
        <v>1.38E-2</v>
      </c>
      <c r="E36" s="20">
        <v>0.64790000000000003</v>
      </c>
      <c r="F36" s="20">
        <v>9.7999999999999997E-3</v>
      </c>
      <c r="G36" s="20">
        <v>7.1999999999999998E-3</v>
      </c>
      <c r="H36" s="23">
        <v>0.75349999964237213</v>
      </c>
    </row>
    <row r="37" spans="1:8" x14ac:dyDescent="0.25">
      <c r="A37" s="24">
        <v>27.42250000312924</v>
      </c>
      <c r="B37" s="20">
        <v>99.319100000000006</v>
      </c>
      <c r="C37" s="20">
        <v>3.3E-3</v>
      </c>
      <c r="D37" s="20">
        <v>1.3899999999999999E-2</v>
      </c>
      <c r="E37" s="20">
        <v>0.64559999999999995</v>
      </c>
      <c r="F37" s="20">
        <v>1.03E-2</v>
      </c>
      <c r="G37" s="20">
        <v>7.7999999999999996E-3</v>
      </c>
      <c r="H37" s="23">
        <v>0.75416667014360428</v>
      </c>
    </row>
    <row r="38" spans="1:8" x14ac:dyDescent="0.25">
      <c r="A38" s="24">
        <v>28.1773333363235</v>
      </c>
      <c r="B38" s="20">
        <v>99.2911</v>
      </c>
      <c r="C38" s="20">
        <v>3.5000000000000001E-3</v>
      </c>
      <c r="D38" s="20">
        <v>1.46E-2</v>
      </c>
      <c r="E38" s="20">
        <v>0.67210000000000003</v>
      </c>
      <c r="F38" s="20">
        <v>1.11E-2</v>
      </c>
      <c r="G38" s="20">
        <v>7.6E-3</v>
      </c>
      <c r="H38" s="23">
        <v>0.75483333319425583</v>
      </c>
    </row>
    <row r="39" spans="1:8" x14ac:dyDescent="0.25">
      <c r="A39" s="24">
        <v>29.039499998092651</v>
      </c>
      <c r="B39" s="20">
        <v>99.327699999999993</v>
      </c>
      <c r="C39" s="20">
        <v>3.0999999999999999E-3</v>
      </c>
      <c r="D39" s="20">
        <v>1.43E-2</v>
      </c>
      <c r="E39" s="20">
        <v>0.63639999999999997</v>
      </c>
      <c r="F39" s="20">
        <v>1.0699999999999999E-2</v>
      </c>
      <c r="G39" s="20">
        <v>7.7999999999999996E-3</v>
      </c>
      <c r="H39" s="23">
        <v>0.86216666176915169</v>
      </c>
    </row>
    <row r="40" spans="1:8" x14ac:dyDescent="0.25">
      <c r="A40" s="24">
        <v>29.792333334684368</v>
      </c>
      <c r="B40" s="20">
        <v>99.330799999999996</v>
      </c>
      <c r="C40" s="20">
        <v>3.3E-3</v>
      </c>
      <c r="D40" s="20">
        <v>1.38E-2</v>
      </c>
      <c r="E40" s="20">
        <v>0.63370000000000004</v>
      </c>
      <c r="F40" s="20">
        <v>1.06E-2</v>
      </c>
      <c r="G40" s="20">
        <v>7.7999999999999996E-3</v>
      </c>
      <c r="H40" s="23">
        <v>0.75283333659172058</v>
      </c>
    </row>
    <row r="41" spans="1:8" x14ac:dyDescent="0.25">
      <c r="A41" s="24">
        <v>30.54183333739638</v>
      </c>
      <c r="B41" s="20">
        <v>99.308400000000006</v>
      </c>
      <c r="C41" s="20">
        <v>3.0000000000000001E-3</v>
      </c>
      <c r="D41" s="20">
        <v>1.38E-2</v>
      </c>
      <c r="E41" s="20">
        <v>0.65800000000000003</v>
      </c>
      <c r="F41" s="20">
        <v>9.4999999999999998E-3</v>
      </c>
      <c r="G41" s="20">
        <v>7.1999999999999998E-3</v>
      </c>
      <c r="H41" s="23">
        <v>0.74950000271201134</v>
      </c>
    </row>
    <row r="42" spans="1:8" x14ac:dyDescent="0.25">
      <c r="A42" s="24">
        <v>31.29183333739638</v>
      </c>
      <c r="B42" s="20">
        <v>99.291600000000003</v>
      </c>
      <c r="C42" s="20">
        <v>3.3E-3</v>
      </c>
      <c r="D42" s="20">
        <v>1.3299999999999999E-2</v>
      </c>
      <c r="E42" s="20">
        <v>0.6734</v>
      </c>
      <c r="F42" s="20">
        <v>1.04E-2</v>
      </c>
      <c r="G42" s="20">
        <v>7.9000000000000008E-3</v>
      </c>
      <c r="H42" s="23">
        <v>0.75</v>
      </c>
    </row>
    <row r="43" spans="1:8" x14ac:dyDescent="0.25">
      <c r="A43" s="24">
        <v>32.042666669934988</v>
      </c>
      <c r="B43" s="20">
        <v>99.267700000000005</v>
      </c>
      <c r="C43" s="20">
        <v>3.0000000000000001E-3</v>
      </c>
      <c r="D43" s="20">
        <v>1.15E-2</v>
      </c>
      <c r="E43" s="20">
        <v>0.69899999999999995</v>
      </c>
      <c r="F43" s="20">
        <v>1.09E-2</v>
      </c>
      <c r="G43" s="20">
        <v>7.9000000000000008E-3</v>
      </c>
      <c r="H43" s="23">
        <v>0.75083333253860474</v>
      </c>
    </row>
    <row r="44" spans="1:8" x14ac:dyDescent="0.25">
      <c r="A44" s="24">
        <v>32.902500003576279</v>
      </c>
      <c r="B44" s="20">
        <v>99.311800000000005</v>
      </c>
      <c r="C44" s="20">
        <v>3.0999999999999999E-3</v>
      </c>
      <c r="D44" s="20">
        <v>1.3299999999999999E-2</v>
      </c>
      <c r="E44" s="20">
        <v>0.65490000000000004</v>
      </c>
      <c r="F44" s="20">
        <v>9.7999999999999997E-3</v>
      </c>
      <c r="G44" s="20">
        <v>7.0000000000000001E-3</v>
      </c>
      <c r="H44" s="23">
        <v>0.85983333364129066</v>
      </c>
    </row>
    <row r="45" spans="1:8" x14ac:dyDescent="0.25">
      <c r="A45" s="24">
        <v>33.654333334416151</v>
      </c>
      <c r="B45" s="20">
        <v>99.293199999999999</v>
      </c>
      <c r="C45" s="20">
        <v>3.0000000000000001E-3</v>
      </c>
      <c r="D45" s="20">
        <v>1.3899999999999999E-2</v>
      </c>
      <c r="E45" s="20">
        <v>0.67079999999999995</v>
      </c>
      <c r="F45" s="20">
        <v>1.15E-2</v>
      </c>
      <c r="G45" s="20">
        <v>7.6E-3</v>
      </c>
      <c r="H45" s="23">
        <v>0.75183333083987236</v>
      </c>
    </row>
    <row r="46" spans="1:8" x14ac:dyDescent="0.25">
      <c r="A46" s="24">
        <v>34.403499998152263</v>
      </c>
      <c r="B46" s="20">
        <v>99.293499999999995</v>
      </c>
      <c r="C46" s="20">
        <v>3.0999999999999999E-3</v>
      </c>
      <c r="D46" s="20">
        <v>1.3299999999999999E-2</v>
      </c>
      <c r="E46" s="20">
        <v>0.67120000000000002</v>
      </c>
      <c r="F46" s="20">
        <v>1.11E-2</v>
      </c>
      <c r="G46" s="20">
        <v>7.7999999999999996E-3</v>
      </c>
      <c r="H46" s="23">
        <v>0.74916666373610497</v>
      </c>
    </row>
    <row r="47" spans="1:8" x14ac:dyDescent="0.25">
      <c r="A47" s="24">
        <v>35.155333336442709</v>
      </c>
      <c r="B47" s="20">
        <v>99.263499999999993</v>
      </c>
      <c r="C47" s="20">
        <v>3.2000000000000002E-3</v>
      </c>
      <c r="D47" s="20">
        <v>1.34E-2</v>
      </c>
      <c r="E47" s="20">
        <v>0.70140000000000002</v>
      </c>
      <c r="F47" s="20">
        <v>1.1299999999999999E-2</v>
      </c>
      <c r="G47" s="20">
        <v>7.3000000000000001E-3</v>
      </c>
      <c r="H47" s="23">
        <v>0.75183333829045296</v>
      </c>
    </row>
    <row r="48" spans="1:8" x14ac:dyDescent="0.25">
      <c r="A48" s="24">
        <v>36.017833337187767</v>
      </c>
      <c r="B48" s="20">
        <v>99.331299999999999</v>
      </c>
      <c r="C48" s="20">
        <v>3.0000000000000001E-3</v>
      </c>
      <c r="D48" s="20">
        <v>1.2500000000000001E-2</v>
      </c>
      <c r="E48" s="20">
        <v>0.63429999999999997</v>
      </c>
      <c r="F48" s="20">
        <v>1.1299999999999999E-2</v>
      </c>
      <c r="G48" s="20">
        <v>7.4999999999999997E-3</v>
      </c>
      <c r="H48" s="23">
        <v>0.86250000074505806</v>
      </c>
    </row>
    <row r="49" spans="1:8" x14ac:dyDescent="0.25">
      <c r="A49" s="24">
        <v>36.771000001579523</v>
      </c>
      <c r="B49" s="20">
        <v>99.3446</v>
      </c>
      <c r="C49" s="20">
        <v>2.8999999999999998E-3</v>
      </c>
      <c r="D49" s="20">
        <v>1.2500000000000001E-2</v>
      </c>
      <c r="E49" s="20">
        <v>0.621</v>
      </c>
      <c r="F49" s="20">
        <v>1.12E-2</v>
      </c>
      <c r="G49" s="20">
        <v>7.7000000000000002E-3</v>
      </c>
      <c r="H49" s="23">
        <v>0.75316666439175606</v>
      </c>
    </row>
    <row r="50" spans="1:8" x14ac:dyDescent="0.25">
      <c r="A50" s="24">
        <v>37.524500004947193</v>
      </c>
      <c r="B50" s="20">
        <v>99.371899999999997</v>
      </c>
      <c r="C50" s="20">
        <v>3.0000000000000001E-3</v>
      </c>
      <c r="D50" s="20">
        <v>1.3299999999999999E-2</v>
      </c>
      <c r="E50" s="20">
        <v>0.59279999999999999</v>
      </c>
      <c r="F50" s="20">
        <v>1.1599999999999999E-2</v>
      </c>
      <c r="G50" s="20">
        <v>7.4999999999999997E-3</v>
      </c>
      <c r="H50" s="23">
        <v>0.75350000336766243</v>
      </c>
    </row>
    <row r="51" spans="1:8" x14ac:dyDescent="0.25">
      <c r="A51" s="24">
        <v>38.278333336114883</v>
      </c>
      <c r="B51" s="20">
        <v>99.361900000000006</v>
      </c>
      <c r="C51" s="20">
        <v>3.0999999999999999E-3</v>
      </c>
      <c r="D51" s="20">
        <v>1.26E-2</v>
      </c>
      <c r="E51" s="20">
        <v>0.60329999999999995</v>
      </c>
      <c r="F51" s="20">
        <v>1.1299999999999999E-2</v>
      </c>
      <c r="G51" s="20">
        <v>7.9000000000000008E-3</v>
      </c>
      <c r="H51" s="23">
        <v>0.75383333116769791</v>
      </c>
    </row>
    <row r="52" spans="1:8" x14ac:dyDescent="0.25">
      <c r="A52" s="24">
        <v>39.033500000834472</v>
      </c>
      <c r="B52" s="20">
        <v>99.348600000000005</v>
      </c>
      <c r="C52" s="20">
        <v>3.0999999999999999E-3</v>
      </c>
      <c r="D52" s="20">
        <v>1.14E-2</v>
      </c>
      <c r="E52" s="20">
        <v>0.61709999999999998</v>
      </c>
      <c r="F52" s="20">
        <v>1.24E-2</v>
      </c>
      <c r="G52" s="20">
        <v>7.4000000000000003E-3</v>
      </c>
      <c r="H52" s="23">
        <v>0.7551666647195816</v>
      </c>
    </row>
    <row r="53" spans="1:8" x14ac:dyDescent="0.25">
      <c r="A53" s="24">
        <v>39.903333336114883</v>
      </c>
      <c r="B53" s="20">
        <v>99.402600000000007</v>
      </c>
      <c r="C53" s="20">
        <v>3.0000000000000001E-3</v>
      </c>
      <c r="D53" s="20">
        <v>1.32E-2</v>
      </c>
      <c r="E53" s="20">
        <v>0.56240000000000001</v>
      </c>
      <c r="F53" s="20">
        <v>1.18E-2</v>
      </c>
      <c r="G53" s="20">
        <v>6.8999999999999999E-3</v>
      </c>
      <c r="H53" s="23">
        <v>0.8698333352804184</v>
      </c>
    </row>
    <row r="54" spans="1:8" x14ac:dyDescent="0.25">
      <c r="A54" s="24">
        <v>40.664666667580597</v>
      </c>
      <c r="B54" s="20">
        <v>99.418499999999995</v>
      </c>
      <c r="C54" s="20">
        <v>2.8E-3</v>
      </c>
      <c r="D54" s="20">
        <v>1.2500000000000001E-2</v>
      </c>
      <c r="E54" s="20">
        <v>0.54669999999999996</v>
      </c>
      <c r="F54" s="20">
        <v>1.23E-2</v>
      </c>
      <c r="G54" s="20">
        <v>7.1000000000000004E-3</v>
      </c>
      <c r="H54" s="23">
        <v>0.76133333146572113</v>
      </c>
    </row>
    <row r="55" spans="1:8" x14ac:dyDescent="0.25">
      <c r="A55" s="24">
        <v>41.424666669219732</v>
      </c>
      <c r="B55" s="20">
        <v>99.419899999999998</v>
      </c>
      <c r="C55" s="20">
        <v>3.0000000000000001E-3</v>
      </c>
      <c r="D55" s="20">
        <v>1.24E-2</v>
      </c>
      <c r="E55" s="20">
        <v>0.5444</v>
      </c>
      <c r="F55" s="20">
        <v>1.23E-2</v>
      </c>
      <c r="G55" s="20">
        <v>8.0000000000000002E-3</v>
      </c>
      <c r="H55" s="23">
        <v>0.76000000163912773</v>
      </c>
    </row>
    <row r="56" spans="1:8" x14ac:dyDescent="0.25">
      <c r="A56" s="24">
        <v>42.183666668832302</v>
      </c>
      <c r="B56" s="20">
        <v>99.4422</v>
      </c>
      <c r="C56" s="20">
        <v>2.8999999999999998E-3</v>
      </c>
      <c r="D56" s="20">
        <v>1.35E-2</v>
      </c>
      <c r="E56" s="20">
        <v>0.5212</v>
      </c>
      <c r="F56" s="20">
        <v>1.2200000000000001E-2</v>
      </c>
      <c r="G56" s="20">
        <v>8.0000000000000002E-3</v>
      </c>
      <c r="H56" s="23">
        <v>0.75899999961256981</v>
      </c>
    </row>
    <row r="57" spans="1:8" x14ac:dyDescent="0.25">
      <c r="A57" s="24">
        <v>43.049166671931737</v>
      </c>
      <c r="B57" s="20">
        <v>99.4786</v>
      </c>
      <c r="C57" s="20">
        <v>3.0000000000000001E-3</v>
      </c>
      <c r="D57" s="20">
        <v>1.29E-2</v>
      </c>
      <c r="E57" s="20">
        <v>0.48630000000000001</v>
      </c>
      <c r="F57" s="20">
        <v>1.2200000000000001E-2</v>
      </c>
      <c r="G57" s="20">
        <v>7.0000000000000001E-3</v>
      </c>
      <c r="H57" s="23">
        <v>0.86550000309944153</v>
      </c>
    </row>
    <row r="58" spans="1:8" x14ac:dyDescent="0.25">
      <c r="A58" s="24">
        <v>43.807166669517763</v>
      </c>
      <c r="B58" s="20">
        <v>99.488799999999998</v>
      </c>
      <c r="C58" s="20">
        <v>3.0000000000000001E-3</v>
      </c>
      <c r="D58" s="20">
        <v>1.34E-2</v>
      </c>
      <c r="E58" s="20">
        <v>0.47460000000000002</v>
      </c>
      <c r="F58" s="20">
        <v>1.2500000000000001E-2</v>
      </c>
      <c r="G58" s="20">
        <v>7.6E-3</v>
      </c>
      <c r="H58" s="23">
        <v>0.75799999758601189</v>
      </c>
    </row>
    <row r="59" spans="1:8" x14ac:dyDescent="0.25">
      <c r="A59" s="24">
        <v>44.570666667073972</v>
      </c>
      <c r="B59" s="20">
        <v>99.4953</v>
      </c>
      <c r="C59" s="20">
        <v>2.8E-3</v>
      </c>
      <c r="D59" s="20">
        <v>1.2999999999999999E-2</v>
      </c>
      <c r="E59" s="20">
        <v>0.46860000000000002</v>
      </c>
      <c r="F59" s="20">
        <v>1.26E-2</v>
      </c>
      <c r="G59" s="20">
        <v>7.7999999999999996E-3</v>
      </c>
      <c r="H59" s="23">
        <v>0.76349999755620956</v>
      </c>
    </row>
    <row r="60" spans="1:8" x14ac:dyDescent="0.25">
      <c r="A60" s="24">
        <v>45.32883333414793</v>
      </c>
      <c r="B60" s="20">
        <v>99.515900000000002</v>
      </c>
      <c r="C60" s="20">
        <v>3.2000000000000002E-3</v>
      </c>
      <c r="D60" s="20">
        <v>1.2200000000000001E-2</v>
      </c>
      <c r="E60" s="20">
        <v>0.44829999999999998</v>
      </c>
      <c r="F60" s="20">
        <v>1.2699999999999999E-2</v>
      </c>
      <c r="G60" s="20">
        <v>7.6E-3</v>
      </c>
      <c r="H60" s="23">
        <v>0.75816666707396507</v>
      </c>
    </row>
    <row r="61" spans="1:8" x14ac:dyDescent="0.25">
      <c r="A61" s="24">
        <v>46.089999999850988</v>
      </c>
      <c r="B61" s="20">
        <v>99.509</v>
      </c>
      <c r="C61" s="20">
        <v>2.8999999999999998E-3</v>
      </c>
      <c r="D61" s="20">
        <v>1.04E-2</v>
      </c>
      <c r="E61" s="20">
        <v>0.45679999999999998</v>
      </c>
      <c r="F61" s="20">
        <v>1.2999999999999999E-2</v>
      </c>
      <c r="G61" s="20">
        <v>8.0000000000000002E-3</v>
      </c>
      <c r="H61" s="23">
        <v>0.76116666570305824</v>
      </c>
    </row>
    <row r="62" spans="1:8" x14ac:dyDescent="0.25">
      <c r="A62" s="24">
        <v>46.96116666868329</v>
      </c>
      <c r="B62" s="20">
        <v>99.537099999999995</v>
      </c>
      <c r="C62" s="20">
        <v>2.8999999999999998E-3</v>
      </c>
      <c r="D62" s="20">
        <v>1.21E-2</v>
      </c>
      <c r="E62" s="20">
        <v>0.42820000000000003</v>
      </c>
      <c r="F62" s="20">
        <v>1.24E-2</v>
      </c>
      <c r="G62" s="20">
        <v>7.4000000000000003E-3</v>
      </c>
      <c r="H62" s="23">
        <v>0.87116666883230209</v>
      </c>
    </row>
    <row r="63" spans="1:8" x14ac:dyDescent="0.25">
      <c r="A63" s="24">
        <v>47.720333334058523</v>
      </c>
      <c r="B63" s="20">
        <v>99.541300000000007</v>
      </c>
      <c r="C63" s="20">
        <v>2.8E-3</v>
      </c>
      <c r="D63" s="20">
        <v>1.17E-2</v>
      </c>
      <c r="E63" s="20">
        <v>0.42420000000000002</v>
      </c>
      <c r="F63" s="20">
        <v>1.2E-2</v>
      </c>
      <c r="G63" s="20">
        <v>7.9000000000000008E-3</v>
      </c>
      <c r="H63" s="23">
        <v>0.7591666653752327</v>
      </c>
    </row>
    <row r="64" spans="1:8" x14ac:dyDescent="0.25">
      <c r="A64" s="24">
        <v>48.479333333671093</v>
      </c>
      <c r="B64" s="20">
        <v>99.554299999999998</v>
      </c>
      <c r="C64" s="20">
        <v>3.2000000000000002E-3</v>
      </c>
      <c r="D64" s="20">
        <v>1.21E-2</v>
      </c>
      <c r="E64" s="20">
        <v>0.40989999999999999</v>
      </c>
      <c r="F64" s="20">
        <v>1.2699999999999999E-2</v>
      </c>
      <c r="G64" s="20">
        <v>7.7999999999999996E-3</v>
      </c>
      <c r="H64" s="23">
        <v>0.75899999961256981</v>
      </c>
    </row>
    <row r="65" spans="1:8" x14ac:dyDescent="0.25">
      <c r="A65" s="24">
        <v>49.239666666835546</v>
      </c>
      <c r="B65" s="20">
        <v>99.546400000000006</v>
      </c>
      <c r="C65" s="20">
        <v>2.8E-3</v>
      </c>
      <c r="D65" s="20">
        <v>1.2200000000000001E-2</v>
      </c>
      <c r="E65" s="20">
        <v>0.41839999999999999</v>
      </c>
      <c r="F65" s="20">
        <v>1.26E-2</v>
      </c>
      <c r="G65" s="20">
        <v>7.6E-3</v>
      </c>
      <c r="H65" s="23">
        <v>0.76033333316445351</v>
      </c>
    </row>
    <row r="66" spans="1:8" x14ac:dyDescent="0.25">
      <c r="A66" s="24">
        <v>50.107666667550802</v>
      </c>
      <c r="B66" s="20">
        <v>99.620699999999999</v>
      </c>
      <c r="C66" s="20">
        <v>2.8999999999999998E-3</v>
      </c>
      <c r="D66" s="20">
        <v>1.14E-2</v>
      </c>
      <c r="E66" s="20">
        <v>0.34539999999999998</v>
      </c>
      <c r="F66" s="20">
        <v>1.21E-2</v>
      </c>
      <c r="G66" s="20">
        <v>7.4000000000000003E-3</v>
      </c>
      <c r="H66" s="23">
        <v>0.86800000071525574</v>
      </c>
    </row>
    <row r="67" spans="1:8" x14ac:dyDescent="0.25">
      <c r="A67" s="24">
        <v>50.87216666713357</v>
      </c>
      <c r="B67" s="20">
        <v>99.632599999999996</v>
      </c>
      <c r="C67" s="20">
        <v>3.0000000000000001E-3</v>
      </c>
      <c r="D67" s="20">
        <v>1.1299999999999999E-2</v>
      </c>
      <c r="E67" s="20">
        <v>0.33239999999999997</v>
      </c>
      <c r="F67" s="20">
        <v>1.2800000000000001E-2</v>
      </c>
      <c r="G67" s="20">
        <v>7.9000000000000008E-3</v>
      </c>
      <c r="H67" s="23">
        <v>0.76449999958276749</v>
      </c>
    </row>
    <row r="68" spans="1:8" x14ac:dyDescent="0.25">
      <c r="A68" s="24">
        <v>51.632000003010027</v>
      </c>
      <c r="B68" s="20">
        <v>99.645600000000002</v>
      </c>
      <c r="C68" s="20">
        <v>3.3999999999999998E-3</v>
      </c>
      <c r="D68" s="20">
        <v>1.21E-2</v>
      </c>
      <c r="E68" s="20">
        <v>0.31759999999999999</v>
      </c>
      <c r="F68" s="20">
        <v>1.3100000000000001E-2</v>
      </c>
      <c r="G68" s="20">
        <v>8.0999999999999996E-3</v>
      </c>
      <c r="H68" s="23">
        <v>0.75983333587646484</v>
      </c>
    </row>
    <row r="69" spans="1:8" x14ac:dyDescent="0.25">
      <c r="A69" s="24">
        <v>52.39133333414793</v>
      </c>
      <c r="B69" s="20">
        <v>99.635900000000007</v>
      </c>
      <c r="C69" s="20">
        <v>3.0999999999999999E-3</v>
      </c>
      <c r="D69" s="20">
        <v>1.2E-2</v>
      </c>
      <c r="E69" s="20">
        <v>0.3286</v>
      </c>
      <c r="F69" s="20">
        <v>1.3299999999999999E-2</v>
      </c>
      <c r="G69" s="20">
        <v>7.0000000000000001E-3</v>
      </c>
      <c r="H69" s="23">
        <v>0.75933333113789558</v>
      </c>
    </row>
    <row r="70" spans="1:8" x14ac:dyDescent="0.25">
      <c r="A70" s="24">
        <v>53.149000000208623</v>
      </c>
      <c r="B70" s="20">
        <v>99.638199999999998</v>
      </c>
      <c r="C70" s="20">
        <v>2.8999999999999998E-3</v>
      </c>
      <c r="D70" s="20">
        <v>9.7999999999999997E-3</v>
      </c>
      <c r="E70" s="20">
        <v>0.32719999999999999</v>
      </c>
      <c r="F70" s="20">
        <v>1.3599999999999999E-2</v>
      </c>
      <c r="G70" s="20">
        <v>8.3999999999999995E-3</v>
      </c>
      <c r="H70" s="23">
        <v>0.75766666606068611</v>
      </c>
    </row>
    <row r="71" spans="1:8" x14ac:dyDescent="0.25">
      <c r="A71" s="24">
        <v>54.017166670411832</v>
      </c>
      <c r="B71" s="20">
        <v>99.677899999999994</v>
      </c>
      <c r="C71" s="20">
        <v>2.8E-3</v>
      </c>
      <c r="D71" s="20">
        <v>1.0999999999999999E-2</v>
      </c>
      <c r="E71" s="20">
        <v>0.28760000000000002</v>
      </c>
      <c r="F71" s="20">
        <v>1.35E-2</v>
      </c>
      <c r="G71" s="20">
        <v>7.3000000000000001E-3</v>
      </c>
      <c r="H71" s="23">
        <v>0.86816667020320892</v>
      </c>
    </row>
    <row r="72" spans="1:8" x14ac:dyDescent="0.25">
      <c r="A72" s="24">
        <v>54.785000000149012</v>
      </c>
      <c r="B72" s="20">
        <v>99.686300000000003</v>
      </c>
      <c r="C72" s="20">
        <v>2.7000000000000001E-3</v>
      </c>
      <c r="D72" s="20">
        <v>1.14E-2</v>
      </c>
      <c r="E72" s="20">
        <v>0.27939999999999998</v>
      </c>
      <c r="F72" s="20">
        <v>1.26E-2</v>
      </c>
      <c r="G72" s="20">
        <v>7.4999999999999997E-3</v>
      </c>
      <c r="H72" s="23">
        <v>0.76783332973718643</v>
      </c>
    </row>
    <row r="73" spans="1:8" x14ac:dyDescent="0.25">
      <c r="A73" s="24">
        <v>55.552000001072877</v>
      </c>
      <c r="B73" s="20">
        <v>99.678799999999995</v>
      </c>
      <c r="C73" s="20">
        <v>2.8E-3</v>
      </c>
      <c r="D73" s="20">
        <v>1.2200000000000001E-2</v>
      </c>
      <c r="E73" s="20">
        <v>0.28410000000000002</v>
      </c>
      <c r="F73" s="20">
        <v>1.44E-2</v>
      </c>
      <c r="G73" s="20">
        <v>7.7000000000000002E-3</v>
      </c>
      <c r="H73" s="23">
        <v>0.76700000092387199</v>
      </c>
    </row>
    <row r="74" spans="1:8" x14ac:dyDescent="0.25">
      <c r="A74" s="24">
        <v>56.319666668772697</v>
      </c>
      <c r="B74" s="20">
        <v>99.683300000000003</v>
      </c>
      <c r="C74" s="20">
        <v>3.0000000000000001E-3</v>
      </c>
      <c r="D74" s="20">
        <v>1.15E-2</v>
      </c>
      <c r="E74" s="20">
        <v>0.28139999999999998</v>
      </c>
      <c r="F74" s="20">
        <v>1.3599999999999999E-2</v>
      </c>
      <c r="G74" s="20">
        <v>7.1999999999999998E-3</v>
      </c>
      <c r="H74" s="23">
        <v>0.76766666769981384</v>
      </c>
    </row>
    <row r="75" spans="1:8" x14ac:dyDescent="0.25">
      <c r="A75" s="24">
        <v>57.19483333453536</v>
      </c>
      <c r="B75" s="20">
        <v>99.711399999999998</v>
      </c>
      <c r="C75" s="20">
        <v>3.2000000000000002E-3</v>
      </c>
      <c r="D75" s="20">
        <v>1.2E-2</v>
      </c>
      <c r="E75" s="20">
        <v>0.25159999999999999</v>
      </c>
      <c r="F75" s="20">
        <v>1.43E-2</v>
      </c>
      <c r="G75" s="20">
        <v>7.6E-3</v>
      </c>
      <c r="H75" s="23">
        <v>0.87516666576266289</v>
      </c>
    </row>
    <row r="76" spans="1:8" x14ac:dyDescent="0.25">
      <c r="A76" s="24">
        <v>57.962166666984558</v>
      </c>
      <c r="B76" s="20">
        <v>99.718699999999998</v>
      </c>
      <c r="C76" s="20">
        <v>2.8E-3</v>
      </c>
      <c r="D76" s="20">
        <v>1.1599999999999999E-2</v>
      </c>
      <c r="E76" s="20">
        <v>0.246</v>
      </c>
      <c r="F76" s="20">
        <v>1.3299999999999999E-2</v>
      </c>
      <c r="G76" s="20">
        <v>7.6E-3</v>
      </c>
      <c r="H76" s="23">
        <v>0.76733333244919777</v>
      </c>
    </row>
    <row r="77" spans="1:8" x14ac:dyDescent="0.25">
      <c r="A77" s="24">
        <v>58.730666667222977</v>
      </c>
      <c r="B77" s="20">
        <v>99.721999999999994</v>
      </c>
      <c r="C77" s="20">
        <v>3.0000000000000001E-3</v>
      </c>
      <c r="D77" s="20">
        <v>1.1599999999999999E-2</v>
      </c>
      <c r="E77" s="20">
        <v>0.24210000000000001</v>
      </c>
      <c r="F77" s="20">
        <v>1.34E-2</v>
      </c>
      <c r="G77" s="20">
        <v>7.9000000000000008E-3</v>
      </c>
      <c r="H77" s="23">
        <v>0.76850000023841858</v>
      </c>
    </row>
    <row r="78" spans="1:8" x14ac:dyDescent="0.25">
      <c r="A78" s="24">
        <v>59.497666668146849</v>
      </c>
      <c r="B78" s="20">
        <v>99.715000000000003</v>
      </c>
      <c r="C78" s="20">
        <v>3.0000000000000001E-3</v>
      </c>
      <c r="D78" s="20">
        <v>1.14E-2</v>
      </c>
      <c r="E78" s="20">
        <v>0.2485</v>
      </c>
      <c r="F78" s="20">
        <v>1.4500000000000001E-2</v>
      </c>
      <c r="G78" s="20">
        <v>7.7000000000000002E-3</v>
      </c>
      <c r="H78" s="23">
        <v>0.76700000092387199</v>
      </c>
    </row>
    <row r="79" spans="1:8" x14ac:dyDescent="0.25">
      <c r="A79" s="24">
        <v>60.264000002294779</v>
      </c>
      <c r="B79" s="20">
        <v>99.719399999999993</v>
      </c>
      <c r="C79" s="20">
        <v>3.0000000000000001E-3</v>
      </c>
      <c r="D79" s="20">
        <v>9.1999999999999998E-3</v>
      </c>
      <c r="E79" s="20">
        <v>0.24759999999999999</v>
      </c>
      <c r="F79" s="20">
        <v>1.34E-2</v>
      </c>
      <c r="G79" s="20">
        <v>7.4999999999999997E-3</v>
      </c>
      <c r="H79" s="23">
        <v>0.76633333414793015</v>
      </c>
    </row>
    <row r="80" spans="1:8" x14ac:dyDescent="0.25">
      <c r="A80" s="24">
        <v>61.140333335846663</v>
      </c>
      <c r="B80" s="20">
        <v>99.738500000000002</v>
      </c>
      <c r="C80" s="20">
        <v>3.0999999999999999E-3</v>
      </c>
      <c r="D80" s="20">
        <v>1.17E-2</v>
      </c>
      <c r="E80" s="20">
        <v>0.22639999999999999</v>
      </c>
      <c r="F80" s="20">
        <v>1.2999999999999999E-2</v>
      </c>
      <c r="G80" s="20">
        <v>7.3000000000000001E-3</v>
      </c>
      <c r="H80" s="23">
        <v>0.8763333335518837</v>
      </c>
    </row>
    <row r="81" spans="1:8" x14ac:dyDescent="0.25">
      <c r="A81" s="24">
        <v>61.907333333045237</v>
      </c>
      <c r="B81" s="20">
        <v>99.736900000000006</v>
      </c>
      <c r="C81" s="20">
        <v>3.0000000000000001E-3</v>
      </c>
      <c r="D81" s="20">
        <v>1.3299999999999999E-2</v>
      </c>
      <c r="E81" s="20">
        <v>0.22550000000000001</v>
      </c>
      <c r="F81" s="20">
        <v>1.4E-2</v>
      </c>
      <c r="G81" s="20">
        <v>7.4000000000000003E-3</v>
      </c>
      <c r="H81" s="23">
        <v>0.7669999971985817</v>
      </c>
    </row>
    <row r="82" spans="1:8" x14ac:dyDescent="0.25">
      <c r="A82" s="24">
        <v>62.674666669219732</v>
      </c>
      <c r="B82" s="20">
        <v>99.739000000000004</v>
      </c>
      <c r="C82" s="20">
        <v>3.3E-3</v>
      </c>
      <c r="D82" s="20">
        <v>1.3299999999999999E-2</v>
      </c>
      <c r="E82" s="20">
        <v>0.223</v>
      </c>
      <c r="F82" s="20">
        <v>1.3599999999999999E-2</v>
      </c>
      <c r="G82" s="20">
        <v>7.7999999999999996E-3</v>
      </c>
      <c r="H82" s="23">
        <v>0.76733333617448807</v>
      </c>
    </row>
    <row r="83" spans="1:8" x14ac:dyDescent="0.25">
      <c r="A83" s="24">
        <v>63.440999999642372</v>
      </c>
      <c r="B83" s="20">
        <v>99.738699999999994</v>
      </c>
      <c r="C83" s="20">
        <v>3.2000000000000002E-3</v>
      </c>
      <c r="D83" s="20">
        <v>1.24E-2</v>
      </c>
      <c r="E83" s="20">
        <v>0.22359999999999999</v>
      </c>
      <c r="F83" s="20">
        <v>1.43E-2</v>
      </c>
      <c r="G83" s="20">
        <v>7.9000000000000008E-3</v>
      </c>
      <c r="H83" s="23">
        <v>0.76633333042263985</v>
      </c>
    </row>
    <row r="84" spans="1:8" x14ac:dyDescent="0.25">
      <c r="A84" s="24">
        <v>64.317166671156883</v>
      </c>
      <c r="B84" s="20">
        <v>99.760199999999998</v>
      </c>
      <c r="C84" s="20">
        <v>2.8999999999999998E-3</v>
      </c>
      <c r="D84" s="20">
        <v>1.1900000000000001E-2</v>
      </c>
      <c r="E84" s="20">
        <v>0.20319999999999999</v>
      </c>
      <c r="F84" s="20">
        <v>1.4200000000000001E-2</v>
      </c>
      <c r="G84" s="20">
        <v>7.6E-3</v>
      </c>
      <c r="H84" s="23">
        <v>0.87616667151451111</v>
      </c>
    </row>
    <row r="85" spans="1:8" x14ac:dyDescent="0.25">
      <c r="A85" s="24">
        <v>65.082833331078291</v>
      </c>
      <c r="B85" s="20">
        <v>99.758300000000006</v>
      </c>
      <c r="C85" s="20">
        <v>3.0999999999999999E-3</v>
      </c>
      <c r="D85" s="20">
        <v>1.1900000000000001E-2</v>
      </c>
      <c r="E85" s="20">
        <v>0.20549999999999999</v>
      </c>
      <c r="F85" s="20">
        <v>1.37E-2</v>
      </c>
      <c r="G85" s="20">
        <v>7.6E-3</v>
      </c>
      <c r="H85" s="23">
        <v>0.7656666599214077</v>
      </c>
    </row>
    <row r="86" spans="1:8" x14ac:dyDescent="0.25">
      <c r="A86" s="24">
        <v>65.849333334714174</v>
      </c>
      <c r="B86" s="20">
        <v>99.754300000000001</v>
      </c>
      <c r="C86" s="20">
        <v>3.0999999999999999E-3</v>
      </c>
      <c r="D86" s="20">
        <v>1.1299999999999999E-2</v>
      </c>
      <c r="E86" s="20">
        <v>0.20849999999999999</v>
      </c>
      <c r="F86" s="20">
        <v>1.52E-2</v>
      </c>
      <c r="G86" s="20">
        <v>7.6E-3</v>
      </c>
      <c r="H86" s="23">
        <v>0.76650000363588333</v>
      </c>
    </row>
    <row r="87" spans="1:8" x14ac:dyDescent="0.25">
      <c r="A87" s="24">
        <v>66.615166671574116</v>
      </c>
      <c r="B87" s="20">
        <v>99.758099999999999</v>
      </c>
      <c r="C87" s="20">
        <v>2.8E-3</v>
      </c>
      <c r="D87" s="20">
        <v>1.17E-2</v>
      </c>
      <c r="E87" s="20">
        <v>0.20599999999999999</v>
      </c>
      <c r="F87" s="20">
        <v>1.38E-2</v>
      </c>
      <c r="G87" s="20">
        <v>7.7000000000000002E-3</v>
      </c>
      <c r="H87" s="23">
        <v>0.76583333685994148</v>
      </c>
    </row>
    <row r="88" spans="1:8" x14ac:dyDescent="0.25">
      <c r="A88" s="24">
        <v>67.380666669458151</v>
      </c>
      <c r="B88" s="20">
        <v>99.763499999999993</v>
      </c>
      <c r="C88" s="20">
        <v>3.0000000000000001E-3</v>
      </c>
      <c r="D88" s="20">
        <v>9.4999999999999998E-3</v>
      </c>
      <c r="E88" s="20">
        <v>0.20230000000000001</v>
      </c>
      <c r="F88" s="20">
        <v>1.4500000000000001E-2</v>
      </c>
      <c r="G88" s="20">
        <v>7.3000000000000001E-3</v>
      </c>
      <c r="H88" s="23">
        <v>0.76549999788403511</v>
      </c>
    </row>
    <row r="89" spans="1:8" x14ac:dyDescent="0.25">
      <c r="A89" s="24">
        <v>68.257000003010035</v>
      </c>
      <c r="B89" s="20">
        <v>99.775300000000001</v>
      </c>
      <c r="C89" s="20">
        <v>2.8E-3</v>
      </c>
      <c r="D89" s="20">
        <v>1.1299999999999999E-2</v>
      </c>
      <c r="E89" s="20">
        <v>0.18859999999999999</v>
      </c>
      <c r="F89" s="20">
        <v>1.44E-2</v>
      </c>
      <c r="G89" s="20">
        <v>7.4999999999999997E-3</v>
      </c>
      <c r="H89" s="23">
        <v>0.8763333335518837</v>
      </c>
    </row>
    <row r="90" spans="1:8" x14ac:dyDescent="0.25">
      <c r="A90" s="24">
        <v>69.024666666984558</v>
      </c>
      <c r="B90" s="20">
        <v>99.777199999999993</v>
      </c>
      <c r="C90" s="20">
        <v>3.0000000000000001E-3</v>
      </c>
      <c r="D90" s="20">
        <v>1.09E-2</v>
      </c>
      <c r="E90" s="20">
        <v>0.18679999999999999</v>
      </c>
      <c r="F90" s="20">
        <v>1.43E-2</v>
      </c>
      <c r="G90" s="20">
        <v>7.9000000000000008E-3</v>
      </c>
      <c r="H90" s="23">
        <v>0.76766666397452354</v>
      </c>
    </row>
    <row r="91" spans="1:8" x14ac:dyDescent="0.25">
      <c r="A91" s="24">
        <v>69.791833337396383</v>
      </c>
      <c r="B91" s="20">
        <v>99.767600000000002</v>
      </c>
      <c r="C91" s="20">
        <v>3.0000000000000001E-3</v>
      </c>
      <c r="D91" s="20">
        <v>1.12E-2</v>
      </c>
      <c r="E91" s="20">
        <v>0.19589999999999999</v>
      </c>
      <c r="F91" s="20">
        <v>1.49E-2</v>
      </c>
      <c r="G91" s="20">
        <v>7.4000000000000003E-3</v>
      </c>
      <c r="H91" s="23">
        <v>0.76716667041182518</v>
      </c>
    </row>
    <row r="92" spans="1:8" x14ac:dyDescent="0.25">
      <c r="A92" s="24">
        <v>70.556166667491198</v>
      </c>
      <c r="B92" s="20">
        <v>99.766400000000004</v>
      </c>
      <c r="C92" s="20">
        <v>2.8999999999999998E-3</v>
      </c>
      <c r="D92" s="20">
        <v>1.14E-2</v>
      </c>
      <c r="E92" s="20">
        <v>0.19719999999999999</v>
      </c>
      <c r="F92" s="20">
        <v>1.4999999999999999E-2</v>
      </c>
      <c r="G92" s="20">
        <v>7.1999999999999998E-3</v>
      </c>
      <c r="H92" s="23">
        <v>0.7643333300948143</v>
      </c>
    </row>
    <row r="93" spans="1:8" x14ac:dyDescent="0.25">
      <c r="A93" s="24">
        <v>71.43183333799243</v>
      </c>
      <c r="B93" s="20">
        <v>99.793199999999999</v>
      </c>
      <c r="C93" s="20">
        <v>3.0000000000000001E-3</v>
      </c>
      <c r="D93" s="20">
        <v>1.11E-2</v>
      </c>
      <c r="E93" s="20">
        <v>0.1709</v>
      </c>
      <c r="F93" s="20">
        <v>1.4200000000000001E-2</v>
      </c>
      <c r="G93" s="20">
        <v>7.6E-3</v>
      </c>
      <c r="H93" s="23">
        <v>0.87566667050123215</v>
      </c>
    </row>
    <row r="94" spans="1:8" x14ac:dyDescent="0.25">
      <c r="A94" s="24">
        <v>72.197166670113802</v>
      </c>
      <c r="B94" s="20">
        <v>99.793599999999998</v>
      </c>
      <c r="C94" s="20">
        <v>3.0000000000000001E-3</v>
      </c>
      <c r="D94" s="20">
        <v>1.1299999999999999E-2</v>
      </c>
      <c r="E94" s="20">
        <v>0.1699</v>
      </c>
      <c r="F94" s="20">
        <v>1.49E-2</v>
      </c>
      <c r="G94" s="20">
        <v>7.4000000000000003E-3</v>
      </c>
      <c r="H94" s="23">
        <v>0.76533333212137222</v>
      </c>
    </row>
    <row r="95" spans="1:8" x14ac:dyDescent="0.25">
      <c r="A95" s="24">
        <v>72.961333334445953</v>
      </c>
      <c r="B95" s="20">
        <v>99.795000000000002</v>
      </c>
      <c r="C95" s="20">
        <v>2.8999999999999998E-3</v>
      </c>
      <c r="D95" s="20">
        <v>1.0500000000000001E-2</v>
      </c>
      <c r="E95" s="20">
        <v>0.1699</v>
      </c>
      <c r="F95" s="20">
        <v>1.3899999999999999E-2</v>
      </c>
      <c r="G95" s="20">
        <v>7.7999999999999996E-3</v>
      </c>
      <c r="H95" s="23">
        <v>0.76416666433215141</v>
      </c>
    </row>
    <row r="96" spans="1:8" x14ac:dyDescent="0.25">
      <c r="A96" s="24">
        <v>73.72916667163372</v>
      </c>
      <c r="B96" s="20">
        <v>99.793499999999995</v>
      </c>
      <c r="C96" s="20">
        <v>3.0000000000000001E-3</v>
      </c>
      <c r="D96" s="20">
        <v>1.0999999999999999E-2</v>
      </c>
      <c r="E96" s="20">
        <v>0.16980000000000001</v>
      </c>
      <c r="F96" s="20">
        <v>1.4999999999999999E-2</v>
      </c>
      <c r="G96" s="20">
        <v>7.6E-3</v>
      </c>
      <c r="H96" s="23">
        <v>0.76783333718776703</v>
      </c>
    </row>
    <row r="97" spans="1:8" x14ac:dyDescent="0.25">
      <c r="A97" s="24">
        <v>74.494666669517756</v>
      </c>
      <c r="B97" s="20">
        <v>99.791899999999998</v>
      </c>
      <c r="C97" s="20">
        <v>2.8E-3</v>
      </c>
      <c r="D97" s="20">
        <v>8.6E-3</v>
      </c>
      <c r="E97" s="20">
        <v>0.17469999999999999</v>
      </c>
      <c r="F97" s="20">
        <v>1.46E-2</v>
      </c>
      <c r="G97" s="20">
        <v>7.4999999999999997E-3</v>
      </c>
      <c r="H97" s="23">
        <v>0.76549999788403511</v>
      </c>
    </row>
    <row r="98" spans="1:8" x14ac:dyDescent="0.25">
      <c r="A98" s="24">
        <v>75.368666667491198</v>
      </c>
      <c r="B98" s="20">
        <v>99.798900000000003</v>
      </c>
      <c r="C98" s="20">
        <v>2.8E-3</v>
      </c>
      <c r="D98" s="20">
        <v>1.14E-2</v>
      </c>
      <c r="E98" s="20">
        <v>0.16320000000000001</v>
      </c>
      <c r="F98" s="20">
        <v>1.5599999999999999E-2</v>
      </c>
      <c r="G98" s="20">
        <v>8.0000000000000002E-3</v>
      </c>
      <c r="H98" s="23">
        <v>0.87399999797344208</v>
      </c>
    </row>
    <row r="99" spans="1:8" x14ac:dyDescent="0.25">
      <c r="A99" s="24">
        <v>76.13400000333786</v>
      </c>
      <c r="B99" s="20">
        <v>99.800299999999993</v>
      </c>
      <c r="C99" s="20">
        <v>2.8999999999999998E-3</v>
      </c>
      <c r="D99" s="20">
        <v>1.11E-2</v>
      </c>
      <c r="E99" s="20">
        <v>0.16300000000000001</v>
      </c>
      <c r="F99" s="20">
        <v>1.5100000000000001E-2</v>
      </c>
      <c r="G99" s="20">
        <v>7.6E-3</v>
      </c>
      <c r="H99" s="23">
        <v>0.76533333584666252</v>
      </c>
    </row>
    <row r="100" spans="1:8" x14ac:dyDescent="0.25">
      <c r="A100" s="24">
        <v>76.899000000208616</v>
      </c>
      <c r="B100" s="20">
        <v>99.793000000000006</v>
      </c>
      <c r="C100" s="20">
        <v>2.7000000000000001E-3</v>
      </c>
      <c r="D100" s="20">
        <v>1.12E-2</v>
      </c>
      <c r="E100" s="20">
        <v>0.1686</v>
      </c>
      <c r="F100" s="20">
        <v>1.6500000000000001E-2</v>
      </c>
      <c r="G100" s="20">
        <v>8.0000000000000002E-3</v>
      </c>
      <c r="H100" s="23">
        <v>0.76499999687075615</v>
      </c>
    </row>
    <row r="101" spans="1:8" x14ac:dyDescent="0.25">
      <c r="A101" s="24">
        <v>77.662333335727453</v>
      </c>
      <c r="B101" s="20">
        <v>99.792500000000004</v>
      </c>
      <c r="C101" s="20">
        <v>3.0000000000000001E-3</v>
      </c>
      <c r="D101" s="20">
        <v>1.0500000000000001E-2</v>
      </c>
      <c r="E101" s="20">
        <v>0.1711</v>
      </c>
      <c r="F101" s="20">
        <v>1.55E-2</v>
      </c>
      <c r="G101" s="20">
        <v>7.3000000000000001E-3</v>
      </c>
      <c r="H101" s="23">
        <v>0.76333333551883698</v>
      </c>
    </row>
    <row r="102" spans="1:8" x14ac:dyDescent="0.25">
      <c r="A102" s="24">
        <v>78.541499998420477</v>
      </c>
      <c r="B102" s="20">
        <v>99.813800000000001</v>
      </c>
      <c r="C102" s="20">
        <v>3.2000000000000002E-3</v>
      </c>
      <c r="D102" s="20">
        <v>1.0999999999999999E-2</v>
      </c>
      <c r="E102" s="20">
        <v>0.1489</v>
      </c>
      <c r="F102" s="20">
        <v>1.5900000000000001E-2</v>
      </c>
      <c r="G102" s="20">
        <v>7.3000000000000001E-3</v>
      </c>
      <c r="H102" s="23">
        <v>0.87916666269302368</v>
      </c>
    </row>
    <row r="103" spans="1:8" x14ac:dyDescent="0.25">
      <c r="A103" s="24">
        <v>79.307666666805744</v>
      </c>
      <c r="B103" s="20">
        <v>99.811599999999999</v>
      </c>
      <c r="C103" s="20">
        <v>2.8999999999999998E-3</v>
      </c>
      <c r="D103" s="20">
        <v>1.1599999999999999E-2</v>
      </c>
      <c r="E103" s="20">
        <v>0.15010000000000001</v>
      </c>
      <c r="F103" s="20">
        <v>1.61E-2</v>
      </c>
      <c r="G103" s="20">
        <v>7.7999999999999996E-3</v>
      </c>
      <c r="H103" s="23">
        <v>0.76616666838526726</v>
      </c>
    </row>
    <row r="104" spans="1:8" x14ac:dyDescent="0.25">
      <c r="A104" s="24">
        <v>80.075333334505558</v>
      </c>
      <c r="B104" s="20">
        <v>99.812899999999999</v>
      </c>
      <c r="C104" s="20">
        <v>3.0000000000000001E-3</v>
      </c>
      <c r="D104" s="20">
        <v>1.0699999999999999E-2</v>
      </c>
      <c r="E104" s="20">
        <v>0.14960000000000001</v>
      </c>
      <c r="F104" s="20">
        <v>1.61E-2</v>
      </c>
      <c r="G104" s="20">
        <v>7.7999999999999996E-3</v>
      </c>
      <c r="H104" s="23">
        <v>0.76766666769981384</v>
      </c>
    </row>
    <row r="105" spans="1:8" x14ac:dyDescent="0.25">
      <c r="A105" s="24">
        <v>80.843166671693325</v>
      </c>
      <c r="B105" s="20">
        <v>99.805999999999997</v>
      </c>
      <c r="C105" s="20">
        <v>3.0999999999999999E-3</v>
      </c>
      <c r="D105" s="20">
        <v>1.11E-2</v>
      </c>
      <c r="E105" s="20">
        <v>0.15620000000000001</v>
      </c>
      <c r="F105" s="20">
        <v>1.6299999999999999E-2</v>
      </c>
      <c r="G105" s="20">
        <v>7.3000000000000001E-3</v>
      </c>
      <c r="H105" s="23">
        <v>0.76783333718776703</v>
      </c>
    </row>
    <row r="106" spans="1:8" x14ac:dyDescent="0.25">
      <c r="A106" s="24">
        <v>81.718166664242744</v>
      </c>
      <c r="B106" s="20">
        <v>99.818100000000001</v>
      </c>
      <c r="C106" s="20">
        <v>2.8999999999999998E-3</v>
      </c>
      <c r="D106" s="20">
        <v>1.0999999999999999E-2</v>
      </c>
      <c r="E106" s="20">
        <v>0.1449</v>
      </c>
      <c r="F106" s="20">
        <v>1.55E-2</v>
      </c>
      <c r="G106" s="20">
        <v>7.6E-3</v>
      </c>
      <c r="H106" s="23">
        <v>0.8749999925494194</v>
      </c>
    </row>
    <row r="107" spans="1:8" x14ac:dyDescent="0.25">
      <c r="A107" s="24">
        <v>82.486333332955837</v>
      </c>
      <c r="B107" s="20">
        <v>99.819900000000004</v>
      </c>
      <c r="C107" s="20">
        <v>3.0000000000000001E-3</v>
      </c>
      <c r="D107" s="20">
        <v>1.09E-2</v>
      </c>
      <c r="E107" s="20">
        <v>0.14219999999999999</v>
      </c>
      <c r="F107" s="20">
        <v>1.6299999999999999E-2</v>
      </c>
      <c r="G107" s="20">
        <v>7.7000000000000002E-3</v>
      </c>
      <c r="H107" s="23">
        <v>0.7681666687130928</v>
      </c>
    </row>
    <row r="108" spans="1:8" x14ac:dyDescent="0.25">
      <c r="A108" s="24">
        <v>83.251833338290453</v>
      </c>
      <c r="B108" s="20">
        <v>99.817800000000005</v>
      </c>
      <c r="C108" s="20">
        <v>2.8999999999999998E-3</v>
      </c>
      <c r="D108" s="20">
        <v>1.0999999999999999E-2</v>
      </c>
      <c r="E108" s="20">
        <v>0.1434</v>
      </c>
      <c r="F108" s="20">
        <v>1.72E-2</v>
      </c>
      <c r="G108" s="20">
        <v>7.7000000000000002E-3</v>
      </c>
      <c r="H108" s="23">
        <v>0.76550000533461571</v>
      </c>
    </row>
    <row r="109" spans="1:8" x14ac:dyDescent="0.25">
      <c r="A109" s="24">
        <v>84.019666668027639</v>
      </c>
      <c r="B109" s="20">
        <v>99.816800000000001</v>
      </c>
      <c r="C109" s="20">
        <v>2.8999999999999998E-3</v>
      </c>
      <c r="D109" s="20">
        <v>1.0500000000000001E-2</v>
      </c>
      <c r="E109" s="20">
        <v>0.1447</v>
      </c>
      <c r="F109" s="20">
        <v>1.7399999999999999E-2</v>
      </c>
      <c r="G109" s="20">
        <v>7.6E-3</v>
      </c>
      <c r="H109" s="23">
        <v>0.76783332973718643</v>
      </c>
    </row>
    <row r="110" spans="1:8" x14ac:dyDescent="0.25">
      <c r="A110" s="24">
        <v>84.787499997764826</v>
      </c>
      <c r="B110" s="20">
        <v>99.814400000000006</v>
      </c>
      <c r="C110" s="20">
        <v>2.8999999999999998E-3</v>
      </c>
      <c r="D110" s="20">
        <v>1.0699999999999999E-2</v>
      </c>
      <c r="E110" s="20">
        <v>0.14699999999999999</v>
      </c>
      <c r="F110" s="20">
        <v>1.7299999999999999E-2</v>
      </c>
      <c r="G110" s="20">
        <v>7.7000000000000002E-3</v>
      </c>
      <c r="H110" s="23">
        <v>0.76783332973718643</v>
      </c>
    </row>
    <row r="111" spans="1:8" x14ac:dyDescent="0.25">
      <c r="A111" s="24">
        <v>85.662000000476837</v>
      </c>
      <c r="B111" s="20">
        <v>99.824100000000001</v>
      </c>
      <c r="C111" s="20">
        <v>3.0000000000000001E-3</v>
      </c>
      <c r="D111" s="20">
        <v>1.0699999999999999E-2</v>
      </c>
      <c r="E111" s="20">
        <v>0.13769999999999999</v>
      </c>
      <c r="F111" s="20">
        <v>1.6799999999999999E-2</v>
      </c>
      <c r="G111" s="20">
        <v>7.7000000000000002E-3</v>
      </c>
      <c r="H111" s="23">
        <v>0.87450000271201134</v>
      </c>
    </row>
    <row r="112" spans="1:8" x14ac:dyDescent="0.25">
      <c r="A112" s="24">
        <v>86.429000001400709</v>
      </c>
      <c r="B112" s="20">
        <v>99.824700000000007</v>
      </c>
      <c r="C112" s="20">
        <v>3.0999999999999999E-3</v>
      </c>
      <c r="D112" s="20">
        <v>1.06E-2</v>
      </c>
      <c r="E112" s="20">
        <v>0.13730000000000001</v>
      </c>
      <c r="F112" s="20">
        <v>1.6799999999999999E-2</v>
      </c>
      <c r="G112" s="20">
        <v>7.6E-3</v>
      </c>
      <c r="H112" s="23">
        <v>0.76700000092387199</v>
      </c>
    </row>
    <row r="113" spans="1:8" x14ac:dyDescent="0.25">
      <c r="A113" s="24">
        <v>87.193500000983477</v>
      </c>
      <c r="B113" s="20">
        <v>99.823899999999995</v>
      </c>
      <c r="C113" s="20">
        <v>3.0999999999999999E-3</v>
      </c>
      <c r="D113" s="20">
        <v>1.12E-2</v>
      </c>
      <c r="E113" s="20">
        <v>0.13700000000000001</v>
      </c>
      <c r="F113" s="20">
        <v>1.72E-2</v>
      </c>
      <c r="G113" s="20">
        <v>7.4999999999999997E-3</v>
      </c>
      <c r="H113" s="23">
        <v>0.76449999958276749</v>
      </c>
    </row>
    <row r="114" spans="1:8" x14ac:dyDescent="0.25">
      <c r="A114" s="24">
        <v>87.959333334118128</v>
      </c>
      <c r="B114" s="20">
        <v>99.819599999999994</v>
      </c>
      <c r="C114" s="20">
        <v>3.0000000000000001E-3</v>
      </c>
      <c r="D114" s="20">
        <v>1.0999999999999999E-2</v>
      </c>
      <c r="E114" s="20">
        <v>0.1409</v>
      </c>
      <c r="F114" s="20">
        <v>1.77E-2</v>
      </c>
      <c r="G114" s="20">
        <v>7.7000000000000002E-3</v>
      </c>
      <c r="H114" s="23">
        <v>0.76583333313465118</v>
      </c>
    </row>
    <row r="115" spans="1:8" x14ac:dyDescent="0.25">
      <c r="A115" s="24">
        <v>88.836666669696569</v>
      </c>
      <c r="B115" s="20">
        <v>99.823999999999998</v>
      </c>
      <c r="C115" s="20">
        <v>3.3E-3</v>
      </c>
      <c r="D115" s="20">
        <v>1.09E-2</v>
      </c>
      <c r="E115" s="20">
        <v>0.13569999999999999</v>
      </c>
      <c r="F115" s="20">
        <v>1.7899999999999999E-2</v>
      </c>
      <c r="G115" s="20">
        <v>8.0999999999999996E-3</v>
      </c>
      <c r="H115" s="23">
        <v>0.87733333557844162</v>
      </c>
    </row>
    <row r="116" spans="1:8" x14ac:dyDescent="0.25">
      <c r="A116" s="24">
        <v>89.604666668921709</v>
      </c>
      <c r="B116" s="20">
        <v>99.821899999999999</v>
      </c>
      <c r="C116" s="20">
        <v>2.8999999999999998E-3</v>
      </c>
      <c r="D116" s="20">
        <v>1.0500000000000001E-2</v>
      </c>
      <c r="E116" s="20">
        <v>0.1391</v>
      </c>
      <c r="F116" s="20">
        <v>1.8100000000000002E-2</v>
      </c>
      <c r="G116" s="20">
        <v>7.4999999999999997E-3</v>
      </c>
      <c r="H116" s="23">
        <v>0.76799999922513962</v>
      </c>
    </row>
    <row r="117" spans="1:8" x14ac:dyDescent="0.25">
      <c r="A117" s="24">
        <v>90.372833333909512</v>
      </c>
      <c r="B117" s="20">
        <v>99.820499999999996</v>
      </c>
      <c r="C117" s="20">
        <v>3.0000000000000001E-3</v>
      </c>
      <c r="D117" s="20">
        <v>1.0999999999999999E-2</v>
      </c>
      <c r="E117" s="20">
        <v>0.13950000000000001</v>
      </c>
      <c r="F117" s="20">
        <v>1.8200000000000001E-2</v>
      </c>
      <c r="G117" s="20">
        <v>7.7999999999999996E-3</v>
      </c>
      <c r="H117" s="23">
        <v>0.76816666498780251</v>
      </c>
    </row>
    <row r="118" spans="1:8" x14ac:dyDescent="0.25">
      <c r="A118" s="24">
        <v>91.140500005334616</v>
      </c>
      <c r="B118" s="20">
        <v>99.816500000000005</v>
      </c>
      <c r="C118" s="20">
        <v>2.8999999999999998E-3</v>
      </c>
      <c r="D118" s="20">
        <v>1.0500000000000001E-2</v>
      </c>
      <c r="E118" s="20">
        <v>0.14449999999999999</v>
      </c>
      <c r="F118" s="20">
        <v>1.8100000000000002E-2</v>
      </c>
      <c r="G118" s="20">
        <v>7.6E-3</v>
      </c>
      <c r="H118" s="23">
        <v>0.76766667142510414</v>
      </c>
    </row>
    <row r="119" spans="1:8" x14ac:dyDescent="0.25">
      <c r="A119" s="24">
        <v>91.907999999821186</v>
      </c>
      <c r="B119" s="20">
        <v>99.817700000000002</v>
      </c>
      <c r="C119" s="20">
        <v>2.8999999999999998E-3</v>
      </c>
      <c r="D119" s="20">
        <v>9.1000000000000004E-3</v>
      </c>
      <c r="E119" s="20">
        <v>0.14460000000000001</v>
      </c>
      <c r="F119" s="20">
        <v>1.78E-2</v>
      </c>
      <c r="G119" s="20">
        <v>7.9000000000000008E-3</v>
      </c>
      <c r="H119" s="23">
        <v>0.76749999448657036</v>
      </c>
    </row>
    <row r="120" spans="1:8" x14ac:dyDescent="0.25">
      <c r="A120" s="24">
        <v>92.783500000834465</v>
      </c>
      <c r="B120" s="20">
        <v>99.8292</v>
      </c>
      <c r="C120" s="20">
        <v>3.0000000000000001E-3</v>
      </c>
      <c r="D120" s="20">
        <v>1.09E-2</v>
      </c>
      <c r="E120" s="20">
        <v>0.13059999999999999</v>
      </c>
      <c r="F120" s="20">
        <v>1.7899999999999999E-2</v>
      </c>
      <c r="G120" s="20">
        <v>8.3999999999999995E-3</v>
      </c>
      <c r="H120" s="23">
        <v>0.87550000101327896</v>
      </c>
    </row>
    <row r="121" spans="1:8" x14ac:dyDescent="0.25">
      <c r="A121" s="24">
        <v>93.550333335995674</v>
      </c>
      <c r="B121" s="20">
        <v>99.825199999999995</v>
      </c>
      <c r="C121" s="20">
        <v>2.8999999999999998E-3</v>
      </c>
      <c r="D121" s="20">
        <v>1.0999999999999999E-2</v>
      </c>
      <c r="E121" s="20">
        <v>0.13500000000000001</v>
      </c>
      <c r="F121" s="20">
        <v>1.7999999999999999E-2</v>
      </c>
      <c r="G121" s="20">
        <v>7.9000000000000008E-3</v>
      </c>
      <c r="H121" s="23">
        <v>0.76683333516120911</v>
      </c>
    </row>
    <row r="122" spans="1:8" x14ac:dyDescent="0.25">
      <c r="A122" s="24">
        <v>94.317666668444872</v>
      </c>
      <c r="B122" s="20">
        <v>99.826899999999995</v>
      </c>
      <c r="C122" s="20">
        <v>3.2000000000000002E-3</v>
      </c>
      <c r="D122" s="20">
        <v>0.01</v>
      </c>
      <c r="E122" s="20">
        <v>0.13450000000000001</v>
      </c>
      <c r="F122" s="20">
        <v>1.7999999999999999E-2</v>
      </c>
      <c r="G122" s="20">
        <v>7.4000000000000003E-3</v>
      </c>
      <c r="H122" s="23">
        <v>0.76733333244919777</v>
      </c>
    </row>
    <row r="123" spans="1:8" x14ac:dyDescent="0.25">
      <c r="A123" s="24">
        <v>95.08500000089407</v>
      </c>
      <c r="B123" s="20">
        <v>99.824200000000005</v>
      </c>
      <c r="C123" s="20">
        <v>3.7000000000000002E-3</v>
      </c>
      <c r="D123" s="20">
        <v>1.09E-2</v>
      </c>
      <c r="E123" s="20">
        <v>0.13550000000000001</v>
      </c>
      <c r="F123" s="20">
        <v>1.8700000000000001E-2</v>
      </c>
      <c r="G123" s="20">
        <v>7.1000000000000004E-3</v>
      </c>
      <c r="H123" s="23">
        <v>0.76733333244919777</v>
      </c>
    </row>
    <row r="124" spans="1:8" x14ac:dyDescent="0.25">
      <c r="A124" s="24">
        <v>95.964333333075047</v>
      </c>
      <c r="B124" s="20">
        <v>99.835499999999996</v>
      </c>
      <c r="C124" s="20">
        <v>3.0000000000000001E-3</v>
      </c>
      <c r="D124" s="20">
        <v>1.0800000000000001E-2</v>
      </c>
      <c r="E124" s="20">
        <v>0.1237</v>
      </c>
      <c r="F124" s="20">
        <v>1.9099999999999999E-2</v>
      </c>
      <c r="G124" s="20">
        <v>7.9000000000000008E-3</v>
      </c>
      <c r="H124" s="23">
        <v>0.87933333218097687</v>
      </c>
    </row>
    <row r="125" spans="1:8" x14ac:dyDescent="0.25">
      <c r="A125" s="24">
        <v>96.730000000447035</v>
      </c>
      <c r="B125" s="20">
        <v>99.840299999999999</v>
      </c>
      <c r="C125" s="20">
        <v>3.0999999999999999E-3</v>
      </c>
      <c r="D125" s="20">
        <v>1.0500000000000001E-2</v>
      </c>
      <c r="E125" s="20">
        <v>0.1201</v>
      </c>
      <c r="F125" s="20">
        <v>1.83E-2</v>
      </c>
      <c r="G125" s="20">
        <v>7.7000000000000002E-3</v>
      </c>
      <c r="H125" s="23">
        <v>0.7656666673719883</v>
      </c>
    </row>
    <row r="126" spans="1:8" x14ac:dyDescent="0.25">
      <c r="A126" s="24">
        <v>97.496166665107012</v>
      </c>
      <c r="B126" s="20">
        <v>99.835499999999996</v>
      </c>
      <c r="C126" s="20">
        <v>2.8E-3</v>
      </c>
      <c r="D126" s="20">
        <v>1.11E-2</v>
      </c>
      <c r="E126" s="20">
        <v>0.12330000000000001</v>
      </c>
      <c r="F126" s="20">
        <v>1.9199999999999998E-2</v>
      </c>
      <c r="G126" s="20">
        <v>8.0000000000000002E-3</v>
      </c>
      <c r="H126" s="23">
        <v>0.76616666465997696</v>
      </c>
    </row>
    <row r="127" spans="1:8" x14ac:dyDescent="0.25">
      <c r="A127" s="24">
        <v>98.26183333620429</v>
      </c>
      <c r="B127" s="20">
        <v>99.835300000000004</v>
      </c>
      <c r="C127" s="20">
        <v>3.0999999999999999E-3</v>
      </c>
      <c r="D127" s="20">
        <v>1.01E-2</v>
      </c>
      <c r="E127" s="20">
        <v>0.12590000000000001</v>
      </c>
      <c r="F127" s="20">
        <v>1.8100000000000002E-2</v>
      </c>
      <c r="G127" s="20">
        <v>7.4000000000000003E-3</v>
      </c>
      <c r="H127" s="23">
        <v>0.76566667109727859</v>
      </c>
    </row>
    <row r="128" spans="1:8" x14ac:dyDescent="0.25">
      <c r="A128" s="24">
        <v>99.137333333492279</v>
      </c>
      <c r="B128" s="20">
        <v>99.8399</v>
      </c>
      <c r="C128" s="20">
        <v>3.0999999999999999E-3</v>
      </c>
      <c r="D128" s="20">
        <v>1.04E-2</v>
      </c>
      <c r="E128" s="20">
        <v>0.1211</v>
      </c>
      <c r="F128" s="20">
        <v>1.8100000000000002E-2</v>
      </c>
      <c r="G128" s="20">
        <v>7.4000000000000003E-3</v>
      </c>
      <c r="H128" s="23">
        <v>0.87549999728798866</v>
      </c>
    </row>
    <row r="129" spans="1:8" x14ac:dyDescent="0.25">
      <c r="A129" s="24">
        <v>99.901000000536442</v>
      </c>
      <c r="B129" s="20">
        <v>99.838300000000004</v>
      </c>
      <c r="C129" s="20">
        <v>2.8E-3</v>
      </c>
      <c r="D129" s="20">
        <v>1.0699999999999999E-2</v>
      </c>
      <c r="E129" s="20">
        <v>0.1205</v>
      </c>
      <c r="F129" s="20">
        <v>1.9599999999999999E-2</v>
      </c>
      <c r="G129" s="20">
        <v>8.0000000000000002E-3</v>
      </c>
      <c r="H129" s="23">
        <v>0.76366666704416275</v>
      </c>
    </row>
    <row r="130" spans="1:8" x14ac:dyDescent="0.25">
      <c r="A130" s="24">
        <v>100.6623333357275</v>
      </c>
      <c r="B130" s="20">
        <v>99.837500000000006</v>
      </c>
      <c r="C130" s="20">
        <v>3.0000000000000001E-3</v>
      </c>
      <c r="D130" s="20">
        <v>1.04E-2</v>
      </c>
      <c r="E130" s="20">
        <v>0.1222</v>
      </c>
      <c r="F130" s="20">
        <v>1.95E-2</v>
      </c>
      <c r="G130" s="20">
        <v>7.4999999999999997E-3</v>
      </c>
      <c r="H130" s="23">
        <v>0.76133333519101143</v>
      </c>
    </row>
    <row r="131" spans="1:8" x14ac:dyDescent="0.25">
      <c r="A131" s="24">
        <v>101.4298333376646</v>
      </c>
      <c r="B131" s="20">
        <v>99.8369</v>
      </c>
      <c r="C131" s="20">
        <v>2.8999999999999998E-3</v>
      </c>
      <c r="D131" s="20">
        <v>1.06E-2</v>
      </c>
      <c r="E131" s="20">
        <v>0.1226</v>
      </c>
      <c r="F131" s="20">
        <v>1.9E-2</v>
      </c>
      <c r="G131" s="20">
        <v>7.9000000000000008E-3</v>
      </c>
      <c r="H131" s="23">
        <v>0.76750000193715096</v>
      </c>
    </row>
    <row r="132" spans="1:8" x14ac:dyDescent="0.25">
      <c r="A132" s="24">
        <v>102.195499997586</v>
      </c>
      <c r="B132" s="20">
        <v>99.835300000000004</v>
      </c>
      <c r="C132" s="20">
        <v>2.7000000000000001E-3</v>
      </c>
      <c r="D132" s="20">
        <v>1.0800000000000001E-2</v>
      </c>
      <c r="E132" s="20">
        <v>0.1236</v>
      </c>
      <c r="F132" s="20">
        <v>2.0199999999999999E-2</v>
      </c>
      <c r="G132" s="20">
        <v>7.4999999999999997E-3</v>
      </c>
      <c r="H132" s="23">
        <v>0.7656666599214077</v>
      </c>
    </row>
    <row r="133" spans="1:8" x14ac:dyDescent="0.25">
      <c r="A133" s="24">
        <v>103.0740000009537</v>
      </c>
      <c r="B133" s="20">
        <v>99.841800000000006</v>
      </c>
      <c r="C133" s="20">
        <v>2.8999999999999998E-3</v>
      </c>
      <c r="D133" s="20">
        <v>1.0800000000000001E-2</v>
      </c>
      <c r="E133" s="20">
        <v>0.1163</v>
      </c>
      <c r="F133" s="20">
        <v>1.9800000000000002E-2</v>
      </c>
      <c r="G133" s="20">
        <v>8.3000000000000001E-3</v>
      </c>
      <c r="H133" s="23">
        <v>0.87850000336766243</v>
      </c>
    </row>
    <row r="134" spans="1:8" x14ac:dyDescent="0.25">
      <c r="A134" s="24">
        <v>103.8413333334029</v>
      </c>
      <c r="B134" s="20">
        <v>99.841899999999995</v>
      </c>
      <c r="C134" s="20">
        <v>3.0999999999999999E-3</v>
      </c>
      <c r="D134" s="20">
        <v>1.06E-2</v>
      </c>
      <c r="E134" s="20">
        <v>0.1166</v>
      </c>
      <c r="F134" s="20">
        <v>1.9900000000000001E-2</v>
      </c>
      <c r="G134" s="20">
        <v>7.7999999999999996E-3</v>
      </c>
      <c r="H134" s="23">
        <v>0.76733333244919777</v>
      </c>
    </row>
    <row r="135" spans="1:8" x14ac:dyDescent="0.25">
      <c r="A135" s="24">
        <v>104.60683333128689</v>
      </c>
      <c r="B135" s="20">
        <v>99.836600000000004</v>
      </c>
      <c r="C135" s="20">
        <v>2.8E-3</v>
      </c>
      <c r="D135" s="20">
        <v>1.0800000000000001E-2</v>
      </c>
      <c r="E135" s="20">
        <v>0.1221</v>
      </c>
      <c r="F135" s="20">
        <v>2.0400000000000001E-2</v>
      </c>
      <c r="G135" s="20">
        <v>7.3000000000000001E-3</v>
      </c>
      <c r="H135" s="23">
        <v>0.76549999788403511</v>
      </c>
    </row>
    <row r="136" spans="1:8" x14ac:dyDescent="0.25">
      <c r="A136" s="24">
        <v>105.3733333349228</v>
      </c>
      <c r="B136" s="20">
        <v>99.837599999999995</v>
      </c>
      <c r="C136" s="20">
        <v>3.0999999999999999E-3</v>
      </c>
      <c r="D136" s="20">
        <v>1.0699999999999999E-2</v>
      </c>
      <c r="E136" s="20">
        <v>0.1207</v>
      </c>
      <c r="F136" s="20">
        <v>2.0400000000000001E-2</v>
      </c>
      <c r="G136" s="20">
        <v>7.4999999999999997E-3</v>
      </c>
      <c r="H136" s="23">
        <v>0.76650000363588333</v>
      </c>
    </row>
    <row r="137" spans="1:8" x14ac:dyDescent="0.25">
      <c r="A137" s="24">
        <v>106.24883333221079</v>
      </c>
      <c r="B137" s="20">
        <v>99.840699999999998</v>
      </c>
      <c r="C137" s="20">
        <v>3.0999999999999999E-3</v>
      </c>
      <c r="D137" s="20">
        <v>1.0200000000000001E-2</v>
      </c>
      <c r="E137" s="20">
        <v>0.1178</v>
      </c>
      <c r="F137" s="20">
        <v>2.0199999999999999E-2</v>
      </c>
      <c r="G137" s="20">
        <v>8.0000000000000002E-3</v>
      </c>
      <c r="H137" s="23">
        <v>0.87549999728798866</v>
      </c>
    </row>
    <row r="138" spans="1:8" x14ac:dyDescent="0.25">
      <c r="A138" s="24">
        <v>107.015666667372</v>
      </c>
      <c r="B138" s="20">
        <v>99.838999999999999</v>
      </c>
      <c r="C138" s="20">
        <v>2.8999999999999998E-3</v>
      </c>
      <c r="D138" s="20">
        <v>1.0699999999999999E-2</v>
      </c>
      <c r="E138" s="20">
        <v>0.1192</v>
      </c>
      <c r="F138" s="20">
        <v>2.06E-2</v>
      </c>
      <c r="G138" s="20">
        <v>7.6E-3</v>
      </c>
      <c r="H138" s="23">
        <v>0.76683333516120911</v>
      </c>
    </row>
    <row r="139" spans="1:8" x14ac:dyDescent="0.25">
      <c r="A139" s="24">
        <v>107.7808333337307</v>
      </c>
      <c r="B139" s="20">
        <v>99.838700000000003</v>
      </c>
      <c r="C139" s="20">
        <v>3.0000000000000001E-3</v>
      </c>
      <c r="D139" s="20">
        <v>1.0500000000000001E-2</v>
      </c>
      <c r="E139" s="20">
        <v>0.1195</v>
      </c>
      <c r="F139" s="20">
        <v>2.0799999999999999E-2</v>
      </c>
      <c r="G139" s="20">
        <v>7.4999999999999997E-3</v>
      </c>
      <c r="H139" s="23">
        <v>0.76516666635870934</v>
      </c>
    </row>
    <row r="140" spans="1:8" x14ac:dyDescent="0.25">
      <c r="A140" s="24">
        <v>108.546500004828</v>
      </c>
      <c r="B140" s="20">
        <v>99.835899999999995</v>
      </c>
      <c r="C140" s="20">
        <v>2.8E-3</v>
      </c>
      <c r="D140" s="20">
        <v>1.0800000000000001E-2</v>
      </c>
      <c r="E140" s="20">
        <v>0.1226</v>
      </c>
      <c r="F140" s="20">
        <v>2.0199999999999999E-2</v>
      </c>
      <c r="G140" s="20">
        <v>7.6E-3</v>
      </c>
      <c r="H140" s="23">
        <v>0.76566667109727859</v>
      </c>
    </row>
    <row r="141" spans="1:8" x14ac:dyDescent="0.25">
      <c r="A141" s="24">
        <v>109.3114999979734</v>
      </c>
      <c r="B141" s="20">
        <v>99.841200000000001</v>
      </c>
      <c r="C141" s="20">
        <v>2.8999999999999998E-3</v>
      </c>
      <c r="D141" s="20">
        <v>8.9999999999999993E-3</v>
      </c>
      <c r="E141" s="20">
        <v>0.11799999999999999</v>
      </c>
      <c r="F141" s="20">
        <v>2.1000000000000001E-2</v>
      </c>
      <c r="G141" s="20">
        <v>7.9000000000000008E-3</v>
      </c>
      <c r="H141" s="23">
        <v>0.76499999314546585</v>
      </c>
    </row>
    <row r="142" spans="1:8" x14ac:dyDescent="0.25">
      <c r="A142" s="24">
        <v>110.1883333362639</v>
      </c>
      <c r="B142" s="20">
        <v>99.847200000000001</v>
      </c>
      <c r="C142" s="20">
        <v>3.0000000000000001E-3</v>
      </c>
      <c r="D142" s="20">
        <v>1.06E-2</v>
      </c>
      <c r="E142" s="20">
        <v>0.11020000000000001</v>
      </c>
      <c r="F142" s="20">
        <v>2.12E-2</v>
      </c>
      <c r="G142" s="20">
        <v>7.7999999999999996E-3</v>
      </c>
      <c r="H142" s="23">
        <v>0.87683333829045296</v>
      </c>
    </row>
    <row r="143" spans="1:8" x14ac:dyDescent="0.25">
      <c r="A143" s="24">
        <v>110.9551666714251</v>
      </c>
      <c r="B143" s="20">
        <v>99.842299999999994</v>
      </c>
      <c r="C143" s="20">
        <v>2.8999999999999998E-3</v>
      </c>
      <c r="D143" s="20">
        <v>1.0800000000000001E-2</v>
      </c>
      <c r="E143" s="20">
        <v>0.11409999999999999</v>
      </c>
      <c r="F143" s="20">
        <v>2.1600000000000001E-2</v>
      </c>
      <c r="G143" s="20">
        <v>8.3000000000000001E-3</v>
      </c>
      <c r="H143" s="23">
        <v>0.76683333516120911</v>
      </c>
    </row>
    <row r="144" spans="1:8" x14ac:dyDescent="0.25">
      <c r="A144" s="24">
        <v>111.72283333167429</v>
      </c>
      <c r="B144" s="20">
        <v>99.841899999999995</v>
      </c>
      <c r="C144" s="20">
        <v>3.0000000000000001E-3</v>
      </c>
      <c r="D144" s="20">
        <v>1.0500000000000001E-2</v>
      </c>
      <c r="E144" s="20">
        <v>0.11559999999999999</v>
      </c>
      <c r="F144" s="20">
        <v>2.12E-2</v>
      </c>
      <c r="G144" s="20">
        <v>7.7999999999999996E-3</v>
      </c>
      <c r="H144" s="23">
        <v>0.76766666024923325</v>
      </c>
    </row>
    <row r="145" spans="1:8" x14ac:dyDescent="0.25">
      <c r="A145" s="24">
        <v>112.4916666671634</v>
      </c>
      <c r="B145" s="20">
        <v>99.838700000000003</v>
      </c>
      <c r="C145" s="20">
        <v>3.0000000000000001E-3</v>
      </c>
      <c r="D145" s="20">
        <v>1.0800000000000001E-2</v>
      </c>
      <c r="E145" s="20">
        <v>0.11799999999999999</v>
      </c>
      <c r="F145" s="20">
        <v>2.1399999999999999E-2</v>
      </c>
      <c r="G145" s="20">
        <v>8.0000000000000002E-3</v>
      </c>
      <c r="H145" s="23">
        <v>0.76883333548903465</v>
      </c>
    </row>
    <row r="146" spans="1:8" x14ac:dyDescent="0.25">
      <c r="A146" s="24">
        <v>113.3725000023842</v>
      </c>
      <c r="B146" s="20">
        <v>99.849599999999995</v>
      </c>
      <c r="C146" s="20">
        <v>3.0000000000000001E-3</v>
      </c>
      <c r="D146" s="20">
        <v>1.0699999999999999E-2</v>
      </c>
      <c r="E146" s="20">
        <v>0.10630000000000001</v>
      </c>
      <c r="F146" s="20">
        <v>2.2200000000000001E-2</v>
      </c>
      <c r="G146" s="20">
        <v>8.3000000000000001E-3</v>
      </c>
      <c r="H146" s="23">
        <v>0.88083333522081375</v>
      </c>
    </row>
    <row r="147" spans="1:8" x14ac:dyDescent="0.25">
      <c r="A147" s="24">
        <v>114.140000000596</v>
      </c>
      <c r="B147" s="20">
        <v>99.847800000000007</v>
      </c>
      <c r="C147" s="20">
        <v>3.0000000000000001E-3</v>
      </c>
      <c r="D147" s="20">
        <v>1.0500000000000001E-2</v>
      </c>
      <c r="E147" s="20">
        <v>0.109</v>
      </c>
      <c r="F147" s="20">
        <v>2.1600000000000001E-2</v>
      </c>
      <c r="G147" s="20">
        <v>8.2000000000000007E-3</v>
      </c>
      <c r="H147" s="23">
        <v>0.76749999821186066</v>
      </c>
    </row>
    <row r="148" spans="1:8" x14ac:dyDescent="0.25">
      <c r="A148" s="24">
        <v>114.9048333317041</v>
      </c>
      <c r="B148" s="20">
        <v>99.847899999999996</v>
      </c>
      <c r="C148" s="20">
        <v>3.0999999999999999E-3</v>
      </c>
      <c r="D148" s="20">
        <v>1.09E-2</v>
      </c>
      <c r="E148" s="20">
        <v>0.1084</v>
      </c>
      <c r="F148" s="20">
        <v>2.18E-2</v>
      </c>
      <c r="G148" s="20">
        <v>7.7999999999999996E-3</v>
      </c>
      <c r="H148" s="23">
        <v>0.76483333110809326</v>
      </c>
    </row>
    <row r="149" spans="1:8" x14ac:dyDescent="0.25">
      <c r="A149" s="24">
        <v>115.6723333336413</v>
      </c>
      <c r="B149" s="20">
        <v>99.847099999999998</v>
      </c>
      <c r="C149" s="20">
        <v>3.0000000000000001E-3</v>
      </c>
      <c r="D149" s="20">
        <v>1.04E-2</v>
      </c>
      <c r="E149" s="20">
        <v>0.11070000000000001</v>
      </c>
      <c r="F149" s="20">
        <v>2.1000000000000001E-2</v>
      </c>
      <c r="G149" s="20">
        <v>7.7000000000000002E-3</v>
      </c>
      <c r="H149" s="23">
        <v>0.76750000193715096</v>
      </c>
    </row>
    <row r="150" spans="1:8" x14ac:dyDescent="0.25">
      <c r="A150" s="24">
        <v>116.546833332628</v>
      </c>
      <c r="B150" s="20">
        <v>99.844700000000003</v>
      </c>
      <c r="C150" s="20">
        <v>2.8999999999999998E-3</v>
      </c>
      <c r="D150" s="20">
        <v>1.0999999999999999E-2</v>
      </c>
      <c r="E150" s="20">
        <v>0.11210000000000001</v>
      </c>
      <c r="F150" s="20">
        <v>2.1600000000000001E-2</v>
      </c>
      <c r="G150" s="20">
        <v>7.7999999999999996E-3</v>
      </c>
      <c r="H150" s="23">
        <v>0.87449999898672104</v>
      </c>
    </row>
    <row r="151" spans="1:8" x14ac:dyDescent="0.25">
      <c r="A151" s="24">
        <v>117.3125000037253</v>
      </c>
      <c r="B151" s="20">
        <v>99.847399999999993</v>
      </c>
      <c r="C151" s="20">
        <v>2.8E-3</v>
      </c>
      <c r="D151" s="20">
        <v>9.9000000000000008E-3</v>
      </c>
      <c r="E151" s="20">
        <v>0.1104</v>
      </c>
      <c r="F151" s="20">
        <v>2.2200000000000001E-2</v>
      </c>
      <c r="G151" s="20">
        <v>7.3000000000000001E-3</v>
      </c>
      <c r="H151" s="23">
        <v>0.76566667109727859</v>
      </c>
    </row>
    <row r="152" spans="1:8" x14ac:dyDescent="0.25">
      <c r="A152" s="24">
        <v>118.0786666683853</v>
      </c>
      <c r="B152" s="20">
        <v>99.840800000000002</v>
      </c>
      <c r="C152" s="20">
        <v>2.8999999999999998E-3</v>
      </c>
      <c r="D152" s="20">
        <v>1.04E-2</v>
      </c>
      <c r="E152" s="20">
        <v>0.1158</v>
      </c>
      <c r="F152" s="20">
        <v>2.1899999999999999E-2</v>
      </c>
      <c r="G152" s="20">
        <v>8.0999999999999996E-3</v>
      </c>
      <c r="H152" s="23">
        <v>0.76616666465997696</v>
      </c>
    </row>
    <row r="153" spans="1:8" x14ac:dyDescent="0.25">
      <c r="A153" s="24">
        <v>118.8465000018477</v>
      </c>
      <c r="B153" s="20">
        <v>99.840500000000006</v>
      </c>
      <c r="C153" s="20">
        <v>3.0999999999999999E-3</v>
      </c>
      <c r="D153" s="20">
        <v>1.06E-2</v>
      </c>
      <c r="E153" s="20">
        <v>0.11600000000000001</v>
      </c>
      <c r="F153" s="20">
        <v>2.2200000000000001E-2</v>
      </c>
      <c r="G153" s="20">
        <v>7.4000000000000003E-3</v>
      </c>
      <c r="H153" s="23">
        <v>0.76783333346247673</v>
      </c>
    </row>
    <row r="154" spans="1:8" x14ac:dyDescent="0.25">
      <c r="A154" s="24">
        <v>119.6134999990463</v>
      </c>
      <c r="B154" s="20">
        <v>99.836200000000005</v>
      </c>
      <c r="C154" s="20">
        <v>2.8999999999999998E-3</v>
      </c>
      <c r="D154" s="20">
        <v>1.0699999999999999E-2</v>
      </c>
      <c r="E154" s="20">
        <v>0.1198</v>
      </c>
      <c r="F154" s="20">
        <v>2.24E-2</v>
      </c>
      <c r="G154" s="20">
        <v>8.0000000000000002E-3</v>
      </c>
      <c r="H154" s="23">
        <v>0.7669999971985817</v>
      </c>
    </row>
    <row r="155" spans="1:8" x14ac:dyDescent="0.25">
      <c r="A155" s="24">
        <v>120.4916666671634</v>
      </c>
      <c r="B155" s="20">
        <v>99.8489</v>
      </c>
      <c r="C155" s="20">
        <v>2.8E-3</v>
      </c>
      <c r="D155" s="20">
        <v>1.0500000000000001E-2</v>
      </c>
      <c r="E155" s="20">
        <v>0.1082</v>
      </c>
      <c r="F155" s="20">
        <v>2.2100000000000002E-2</v>
      </c>
      <c r="G155" s="20">
        <v>7.4999999999999997E-3</v>
      </c>
      <c r="H155" s="23">
        <v>0.87816666811704636</v>
      </c>
    </row>
    <row r="156" spans="1:8" x14ac:dyDescent="0.25">
      <c r="A156" s="24">
        <v>121.2585000023246</v>
      </c>
      <c r="B156" s="20">
        <v>95.186700000000002</v>
      </c>
      <c r="C156" s="20">
        <v>0.20810000000000001</v>
      </c>
      <c r="D156" s="20">
        <v>4.4617000000000004</v>
      </c>
      <c r="E156" s="20">
        <v>0.1154</v>
      </c>
      <c r="F156" s="20">
        <v>2.07E-2</v>
      </c>
      <c r="G156" s="20">
        <v>7.4000000000000003E-3</v>
      </c>
      <c r="H156" s="23">
        <v>0.76683333516120911</v>
      </c>
    </row>
    <row r="157" spans="1:8" x14ac:dyDescent="0.25">
      <c r="A157" s="24">
        <v>122.0115000009537</v>
      </c>
      <c r="B157" s="20">
        <v>90.050200000000004</v>
      </c>
      <c r="C157" s="20">
        <v>0.42949999999999999</v>
      </c>
      <c r="D157" s="20">
        <v>9.3686000000000007</v>
      </c>
      <c r="E157" s="20">
        <v>0.12770000000000001</v>
      </c>
      <c r="F157" s="20">
        <v>1.6899999999999998E-2</v>
      </c>
      <c r="G157" s="20">
        <v>7.0000000000000001E-3</v>
      </c>
      <c r="H157" s="23">
        <v>0.75299999862909317</v>
      </c>
    </row>
    <row r="158" spans="1:8" x14ac:dyDescent="0.25">
      <c r="A158" s="24">
        <v>122.76416666433219</v>
      </c>
      <c r="B158" s="20">
        <v>86.450400000000002</v>
      </c>
      <c r="C158" s="20">
        <v>0.58140000000000003</v>
      </c>
      <c r="D158" s="20">
        <v>12.8124</v>
      </c>
      <c r="E158" s="20">
        <v>0.1368</v>
      </c>
      <c r="F158" s="20">
        <v>1.24E-2</v>
      </c>
      <c r="G158" s="20">
        <v>6.7000000000000002E-3</v>
      </c>
      <c r="H158" s="23">
        <v>0.7526666633784771</v>
      </c>
    </row>
    <row r="159" spans="1:8" x14ac:dyDescent="0.25">
      <c r="A159" s="24">
        <v>123.6288333311677</v>
      </c>
      <c r="B159" s="20">
        <v>83.7804</v>
      </c>
      <c r="C159" s="20">
        <v>0.69979999999999998</v>
      </c>
      <c r="D159" s="20">
        <v>15.3659</v>
      </c>
      <c r="E159" s="20">
        <v>0.13900000000000001</v>
      </c>
      <c r="F159" s="20">
        <v>8.2000000000000007E-3</v>
      </c>
      <c r="G159" s="20">
        <v>6.7000000000000002E-3</v>
      </c>
      <c r="H159" s="23">
        <v>0.86466666683554649</v>
      </c>
    </row>
    <row r="160" spans="1:8" x14ac:dyDescent="0.25">
      <c r="A160" s="24">
        <v>124.3823333345354</v>
      </c>
      <c r="B160" s="20">
        <v>82.2119</v>
      </c>
      <c r="C160" s="20">
        <v>0.76859999999999995</v>
      </c>
      <c r="D160" s="20">
        <v>16.861599999999999</v>
      </c>
      <c r="E160" s="20">
        <v>0.14449999999999999</v>
      </c>
      <c r="F160" s="20">
        <v>6.7000000000000002E-3</v>
      </c>
      <c r="G160" s="20">
        <v>6.7000000000000002E-3</v>
      </c>
      <c r="H160" s="23">
        <v>0.75350000336766243</v>
      </c>
    </row>
    <row r="161" spans="1:8" x14ac:dyDescent="0.25">
      <c r="A161" s="24">
        <v>125.1359999999404</v>
      </c>
      <c r="B161" s="20">
        <v>80.996099999999998</v>
      </c>
      <c r="C161" s="20">
        <v>0.82320000000000004</v>
      </c>
      <c r="D161" s="20">
        <v>18.015599999999999</v>
      </c>
      <c r="E161" s="20">
        <v>0.15440000000000001</v>
      </c>
      <c r="F161" s="20">
        <v>5.0000000000000001E-3</v>
      </c>
      <c r="G161" s="20">
        <v>5.7000000000000002E-3</v>
      </c>
      <c r="H161" s="23">
        <v>0.75366666540503502</v>
      </c>
    </row>
    <row r="162" spans="1:8" x14ac:dyDescent="0.25">
      <c r="A162" s="24">
        <v>125.8881666660309</v>
      </c>
      <c r="B162" s="20">
        <v>80.287499999999994</v>
      </c>
      <c r="C162" s="20">
        <v>0.8538</v>
      </c>
      <c r="D162" s="20">
        <v>18.690000000000001</v>
      </c>
      <c r="E162" s="20">
        <v>0.15840000000000001</v>
      </c>
      <c r="F162" s="20">
        <v>4.4999999999999997E-3</v>
      </c>
      <c r="G162" s="20">
        <v>5.8999999999999999E-3</v>
      </c>
      <c r="H162" s="23">
        <v>0.75216666609048843</v>
      </c>
    </row>
    <row r="163" spans="1:8" x14ac:dyDescent="0.25">
      <c r="A163" s="24">
        <v>126.64183333516119</v>
      </c>
      <c r="B163" s="20">
        <v>79.711100000000002</v>
      </c>
      <c r="C163" s="20">
        <v>0.87909999999999999</v>
      </c>
      <c r="D163" s="20">
        <v>19.228999999999999</v>
      </c>
      <c r="E163" s="20">
        <v>0.17180000000000001</v>
      </c>
      <c r="F163" s="20">
        <v>2.5999999999999999E-3</v>
      </c>
      <c r="G163" s="20">
        <v>6.4000000000000003E-3</v>
      </c>
      <c r="H163" s="23">
        <v>0.75366666913032532</v>
      </c>
    </row>
    <row r="164" spans="1:8" x14ac:dyDescent="0.25">
      <c r="A164" s="24">
        <v>127.50250000506639</v>
      </c>
      <c r="B164" s="20">
        <v>79.308199999999999</v>
      </c>
      <c r="C164" s="20">
        <v>0.89749999999999996</v>
      </c>
      <c r="D164" s="20">
        <v>19.623899999999999</v>
      </c>
      <c r="E164" s="20">
        <v>0.16139999999999999</v>
      </c>
      <c r="F164" s="20">
        <v>2.8999999999999998E-3</v>
      </c>
      <c r="G164" s="20">
        <v>6.0000000000000001E-3</v>
      </c>
      <c r="H164" s="23">
        <v>0.8606666699051857</v>
      </c>
    </row>
    <row r="165" spans="1:8" x14ac:dyDescent="0.25">
      <c r="A165" s="24">
        <v>128.25149999931449</v>
      </c>
      <c r="B165" s="20">
        <v>79.005099999999999</v>
      </c>
      <c r="C165" s="20">
        <v>0.91</v>
      </c>
      <c r="D165" s="20">
        <v>19.904800000000002</v>
      </c>
      <c r="E165" s="20">
        <v>0.1719</v>
      </c>
      <c r="F165" s="20">
        <v>1.6000000000000001E-3</v>
      </c>
      <c r="G165" s="20">
        <v>6.7000000000000002E-3</v>
      </c>
      <c r="H165" s="23">
        <v>0.74899999424815178</v>
      </c>
    </row>
    <row r="166" spans="1:8" x14ac:dyDescent="0.25">
      <c r="A166" s="24">
        <v>129.0026666671038</v>
      </c>
      <c r="B166" s="20">
        <v>78.848200000000006</v>
      </c>
      <c r="C166" s="20">
        <v>0.91649999999999998</v>
      </c>
      <c r="D166" s="20">
        <v>20.042100000000001</v>
      </c>
      <c r="E166" s="20">
        <v>0.1852</v>
      </c>
      <c r="F166" s="20">
        <v>1.8E-3</v>
      </c>
      <c r="G166" s="20">
        <v>6.3E-3</v>
      </c>
      <c r="H166" s="23">
        <v>0.75116666778922081</v>
      </c>
    </row>
    <row r="167" spans="1:8" x14ac:dyDescent="0.25">
      <c r="A167" s="24">
        <v>129.75666666775939</v>
      </c>
      <c r="B167" s="20">
        <v>78.704800000000006</v>
      </c>
      <c r="C167" s="20">
        <v>0.92179999999999995</v>
      </c>
      <c r="D167" s="20">
        <v>20.168299999999999</v>
      </c>
      <c r="E167" s="20">
        <v>0.1963</v>
      </c>
      <c r="F167" s="20">
        <v>2.3999999999999998E-3</v>
      </c>
      <c r="G167" s="20">
        <v>6.4000000000000003E-3</v>
      </c>
      <c r="H167" s="23">
        <v>0.75400000065565109</v>
      </c>
    </row>
    <row r="168" spans="1:8" x14ac:dyDescent="0.25">
      <c r="A168" s="24">
        <v>130.62483333423731</v>
      </c>
      <c r="B168" s="20">
        <v>78.617400000000004</v>
      </c>
      <c r="C168" s="20">
        <v>0.92610000000000003</v>
      </c>
      <c r="D168" s="20">
        <v>20.257000000000001</v>
      </c>
      <c r="E168" s="20">
        <v>0.19089999999999999</v>
      </c>
      <c r="F168" s="20">
        <v>1.9E-3</v>
      </c>
      <c r="G168" s="20">
        <v>6.7000000000000002E-3</v>
      </c>
      <c r="H168" s="23">
        <v>0.86816666647791862</v>
      </c>
    </row>
    <row r="169" spans="1:8" x14ac:dyDescent="0.25">
      <c r="A169" s="24">
        <v>131.37900000065571</v>
      </c>
      <c r="B169" s="20">
        <v>78.539100000000005</v>
      </c>
      <c r="C169" s="20">
        <v>0.92849999999999999</v>
      </c>
      <c r="D169" s="20">
        <v>20.325099999999999</v>
      </c>
      <c r="E169" s="20">
        <v>0.1996</v>
      </c>
      <c r="F169" s="20">
        <v>8.9999999999999998E-4</v>
      </c>
      <c r="G169" s="20">
        <v>6.8999999999999999E-3</v>
      </c>
      <c r="H169" s="23">
        <v>0.75416666641831398</v>
      </c>
    </row>
    <row r="170" spans="1:8" x14ac:dyDescent="0.25">
      <c r="A170" s="24">
        <v>132.13133333623409</v>
      </c>
      <c r="B170" s="20">
        <v>78.490700000000004</v>
      </c>
      <c r="C170" s="20">
        <v>0.93049999999999999</v>
      </c>
      <c r="D170" s="20">
        <v>20.362200000000001</v>
      </c>
      <c r="E170" s="20">
        <v>0.2087</v>
      </c>
      <c r="F170" s="20">
        <v>1.4E-3</v>
      </c>
      <c r="G170" s="20">
        <v>6.4000000000000003E-3</v>
      </c>
      <c r="H170" s="23">
        <v>0.75233333557844162</v>
      </c>
    </row>
    <row r="171" spans="1:8" x14ac:dyDescent="0.25">
      <c r="A171" s="24">
        <v>132.88466666638851</v>
      </c>
      <c r="B171" s="20">
        <v>78.4572</v>
      </c>
      <c r="C171" s="20">
        <v>0.93140000000000001</v>
      </c>
      <c r="D171" s="20">
        <v>20.386199999999999</v>
      </c>
      <c r="E171" s="20">
        <v>0.2177</v>
      </c>
      <c r="F171" s="20">
        <v>1.5E-3</v>
      </c>
      <c r="G171" s="20">
        <v>6.0000000000000001E-3</v>
      </c>
      <c r="H171" s="23">
        <v>0.75333333015441895</v>
      </c>
    </row>
    <row r="172" spans="1:8" x14ac:dyDescent="0.25">
      <c r="A172" s="24">
        <v>133.63650000467899</v>
      </c>
      <c r="B172" s="20">
        <v>78.426400000000001</v>
      </c>
      <c r="C172" s="20">
        <v>0.9325</v>
      </c>
      <c r="D172" s="20">
        <v>20.408300000000001</v>
      </c>
      <c r="E172" s="20">
        <v>0.22520000000000001</v>
      </c>
      <c r="F172" s="20">
        <v>1.6999999999999999E-3</v>
      </c>
      <c r="G172" s="20">
        <v>5.8999999999999999E-3</v>
      </c>
      <c r="H172" s="23">
        <v>0.75183333829045296</v>
      </c>
    </row>
    <row r="173" spans="1:8" x14ac:dyDescent="0.25">
      <c r="A173" s="24">
        <v>134.50100000202659</v>
      </c>
      <c r="B173" s="20">
        <v>78.504300000000001</v>
      </c>
      <c r="C173" s="20">
        <v>0.92559999999999998</v>
      </c>
      <c r="D173" s="20">
        <v>20.348700000000001</v>
      </c>
      <c r="E173" s="20">
        <v>0.2135</v>
      </c>
      <c r="F173" s="20">
        <v>1.6000000000000001E-3</v>
      </c>
      <c r="G173" s="20">
        <v>6.1999999999999998E-3</v>
      </c>
      <c r="H173" s="23">
        <v>0.86449999734759331</v>
      </c>
    </row>
    <row r="174" spans="1:8" x14ac:dyDescent="0.25">
      <c r="A174" s="24">
        <v>135.2536666691303</v>
      </c>
      <c r="B174" s="20">
        <v>78.408600000000007</v>
      </c>
      <c r="C174" s="20">
        <v>0.93359999999999999</v>
      </c>
      <c r="D174" s="20">
        <v>20.424199999999999</v>
      </c>
      <c r="E174" s="20">
        <v>0.2248</v>
      </c>
      <c r="F174" s="20">
        <v>2.5000000000000001E-3</v>
      </c>
      <c r="G174" s="20">
        <v>6.3E-3</v>
      </c>
      <c r="H174" s="23">
        <v>0.7526666671037674</v>
      </c>
    </row>
    <row r="175" spans="1:8" x14ac:dyDescent="0.25">
      <c r="A175" s="24">
        <v>136.0080000013113</v>
      </c>
      <c r="B175" s="20">
        <v>78.392499999999998</v>
      </c>
      <c r="C175" s="20">
        <v>0.93430000000000002</v>
      </c>
      <c r="D175" s="20">
        <v>20.434100000000001</v>
      </c>
      <c r="E175" s="20">
        <v>0.23200000000000001</v>
      </c>
      <c r="F175" s="20">
        <v>1E-3</v>
      </c>
      <c r="G175" s="20">
        <v>6.1000000000000004E-3</v>
      </c>
      <c r="H175" s="23">
        <v>0.75433333218097687</v>
      </c>
    </row>
    <row r="176" spans="1:8" x14ac:dyDescent="0.25">
      <c r="A176" s="24">
        <v>136.7615000009537</v>
      </c>
      <c r="B176" s="20">
        <v>78.375600000000006</v>
      </c>
      <c r="C176" s="20">
        <v>0.93500000000000005</v>
      </c>
      <c r="D176" s="20">
        <v>20.436299999999999</v>
      </c>
      <c r="E176" s="20">
        <v>0.24479999999999999</v>
      </c>
      <c r="F176" s="20">
        <v>1.9E-3</v>
      </c>
      <c r="G176" s="20">
        <v>6.4999999999999997E-3</v>
      </c>
      <c r="H176" s="23">
        <v>0.75349999964237213</v>
      </c>
    </row>
    <row r="177" spans="1:8" x14ac:dyDescent="0.25">
      <c r="A177" s="24">
        <v>137.6288333311677</v>
      </c>
      <c r="B177" s="20">
        <v>78.386700000000005</v>
      </c>
      <c r="C177" s="20">
        <v>0.9345</v>
      </c>
      <c r="D177" s="20">
        <v>20.4328</v>
      </c>
      <c r="E177" s="20">
        <v>0.2369</v>
      </c>
      <c r="F177" s="20">
        <v>1.9E-3</v>
      </c>
      <c r="G177" s="20">
        <v>7.1000000000000004E-3</v>
      </c>
      <c r="H177" s="23">
        <v>0.86733333021402359</v>
      </c>
    </row>
    <row r="178" spans="1:8" x14ac:dyDescent="0.25">
      <c r="A178" s="24">
        <v>138.38050000369549</v>
      </c>
      <c r="B178" s="20">
        <v>78.380300000000005</v>
      </c>
      <c r="C178" s="20">
        <v>0.93469999999999998</v>
      </c>
      <c r="D178" s="20">
        <v>20.437000000000001</v>
      </c>
      <c r="E178" s="20">
        <v>0.24079999999999999</v>
      </c>
      <c r="F178" s="20">
        <v>1.1000000000000001E-3</v>
      </c>
      <c r="G178" s="20">
        <v>6.1999999999999998E-3</v>
      </c>
      <c r="H178" s="23">
        <v>0.75166667252779007</v>
      </c>
    </row>
    <row r="179" spans="1:8" x14ac:dyDescent="0.25">
      <c r="A179" s="24">
        <v>139.13100000098351</v>
      </c>
      <c r="B179" s="20">
        <v>78.365700000000004</v>
      </c>
      <c r="C179" s="20">
        <v>0.93500000000000005</v>
      </c>
      <c r="D179" s="20">
        <v>20.439599999999999</v>
      </c>
      <c r="E179" s="20">
        <v>0.25240000000000001</v>
      </c>
      <c r="F179" s="20">
        <v>1.1999999999999999E-3</v>
      </c>
      <c r="G179" s="20">
        <v>6.0000000000000001E-3</v>
      </c>
      <c r="H179" s="23">
        <v>0.75049999728798866</v>
      </c>
    </row>
    <row r="180" spans="1:8" x14ac:dyDescent="0.25">
      <c r="A180" s="24">
        <v>139.88250000402331</v>
      </c>
      <c r="B180" s="20">
        <v>78.369</v>
      </c>
      <c r="C180" s="20">
        <v>0.93469999999999998</v>
      </c>
      <c r="D180" s="20">
        <v>20.431100000000001</v>
      </c>
      <c r="E180" s="20">
        <v>0.25800000000000001</v>
      </c>
      <c r="F180" s="20">
        <v>1.6000000000000001E-3</v>
      </c>
      <c r="G180" s="20">
        <v>5.5999999999999999E-3</v>
      </c>
      <c r="H180" s="23">
        <v>0.75150000303983688</v>
      </c>
    </row>
    <row r="181" spans="1:8" x14ac:dyDescent="0.25">
      <c r="A181" s="24">
        <v>140.63333333656189</v>
      </c>
      <c r="B181" s="20">
        <v>78.356800000000007</v>
      </c>
      <c r="C181" s="20">
        <v>0.93479999999999996</v>
      </c>
      <c r="D181" s="20">
        <v>20.426400000000001</v>
      </c>
      <c r="E181" s="20">
        <v>0.27450000000000002</v>
      </c>
      <c r="F181" s="20">
        <v>1E-3</v>
      </c>
      <c r="G181" s="20">
        <v>6.4999999999999997E-3</v>
      </c>
      <c r="H181" s="23">
        <v>0.75083333253860474</v>
      </c>
    </row>
    <row r="182" spans="1:8" x14ac:dyDescent="0.25">
      <c r="A182" s="24">
        <v>141.4978333376348</v>
      </c>
      <c r="B182" s="20">
        <v>78.383899999999997</v>
      </c>
      <c r="C182" s="20">
        <v>0.93479999999999996</v>
      </c>
      <c r="D182" s="20">
        <v>20.435700000000001</v>
      </c>
      <c r="E182" s="20">
        <v>0.23849999999999999</v>
      </c>
      <c r="F182" s="20">
        <v>1.1999999999999999E-3</v>
      </c>
      <c r="G182" s="20">
        <v>5.7999999999999996E-3</v>
      </c>
      <c r="H182" s="23">
        <v>0.86450000107288361</v>
      </c>
    </row>
    <row r="183" spans="1:8" x14ac:dyDescent="0.25">
      <c r="A183" s="24">
        <v>142.2490000016987</v>
      </c>
      <c r="B183" s="20">
        <v>78.378200000000007</v>
      </c>
      <c r="C183" s="20">
        <v>0.93489999999999995</v>
      </c>
      <c r="D183" s="20">
        <v>20.430499999999999</v>
      </c>
      <c r="E183" s="20">
        <v>0.24890000000000001</v>
      </c>
      <c r="F183" s="20">
        <v>1.2999999999999999E-3</v>
      </c>
      <c r="G183" s="20">
        <v>6.1999999999999998E-3</v>
      </c>
      <c r="H183" s="23">
        <v>0.75116666406393051</v>
      </c>
    </row>
    <row r="184" spans="1:8" x14ac:dyDescent="0.25">
      <c r="A184" s="24">
        <v>143.0034999996424</v>
      </c>
      <c r="B184" s="20">
        <v>78.377099999999999</v>
      </c>
      <c r="C184" s="20">
        <v>0.93479999999999996</v>
      </c>
      <c r="D184" s="20">
        <v>20.427900000000001</v>
      </c>
      <c r="E184" s="20">
        <v>0.25269999999999998</v>
      </c>
      <c r="F184" s="20">
        <v>1.6000000000000001E-3</v>
      </c>
      <c r="G184" s="20">
        <v>5.8999999999999999E-3</v>
      </c>
      <c r="H184" s="23">
        <v>0.75449999794363976</v>
      </c>
    </row>
    <row r="185" spans="1:8" x14ac:dyDescent="0.25">
      <c r="A185" s="24">
        <v>143.7571666687727</v>
      </c>
      <c r="B185" s="20">
        <v>78.373199999999997</v>
      </c>
      <c r="C185" s="20">
        <v>0.93489999999999995</v>
      </c>
      <c r="D185" s="20">
        <v>20.429500000000001</v>
      </c>
      <c r="E185" s="20">
        <v>0.25409999999999999</v>
      </c>
      <c r="F185" s="20">
        <v>2E-3</v>
      </c>
      <c r="G185" s="20">
        <v>6.3E-3</v>
      </c>
      <c r="H185" s="23">
        <v>0.75366666913032532</v>
      </c>
    </row>
    <row r="186" spans="1:8" x14ac:dyDescent="0.25">
      <c r="A186" s="24">
        <v>144.62450000271201</v>
      </c>
      <c r="B186" s="20">
        <v>78.3827</v>
      </c>
      <c r="C186" s="20">
        <v>0.93489999999999995</v>
      </c>
      <c r="D186" s="20">
        <v>20.415900000000001</v>
      </c>
      <c r="E186" s="20">
        <v>0.25750000000000001</v>
      </c>
      <c r="F186" s="20">
        <v>2E-3</v>
      </c>
      <c r="G186" s="20">
        <v>7.0000000000000001E-3</v>
      </c>
      <c r="H186" s="23">
        <v>0.86733333393931389</v>
      </c>
    </row>
    <row r="187" spans="1:8" x14ac:dyDescent="0.25">
      <c r="A187" s="24">
        <v>145.37816666439181</v>
      </c>
      <c r="B187" s="20">
        <v>78.375600000000006</v>
      </c>
      <c r="C187" s="20">
        <v>0.93479999999999996</v>
      </c>
      <c r="D187" s="20">
        <v>20.421500000000002</v>
      </c>
      <c r="E187" s="20">
        <v>0.2606</v>
      </c>
      <c r="F187" s="20">
        <v>1.2999999999999999E-3</v>
      </c>
      <c r="G187" s="20">
        <v>6.1000000000000004E-3</v>
      </c>
      <c r="H187" s="23">
        <v>0.75366666167974472</v>
      </c>
    </row>
    <row r="188" spans="1:8" x14ac:dyDescent="0.25">
      <c r="A188" s="24">
        <v>146.13216666504741</v>
      </c>
      <c r="B188" s="20">
        <v>78.366900000000001</v>
      </c>
      <c r="C188" s="20">
        <v>0.93489999999999995</v>
      </c>
      <c r="D188" s="20">
        <v>20.417200000000001</v>
      </c>
      <c r="E188" s="20">
        <v>0.2732</v>
      </c>
      <c r="F188" s="20">
        <v>1.1000000000000001E-3</v>
      </c>
      <c r="G188" s="20">
        <v>6.7000000000000002E-3</v>
      </c>
      <c r="H188" s="23">
        <v>0.75400000065565109</v>
      </c>
    </row>
    <row r="189" spans="1:8" x14ac:dyDescent="0.25">
      <c r="A189" s="24">
        <v>146.8841666653752</v>
      </c>
      <c r="B189" s="20">
        <v>78.3626</v>
      </c>
      <c r="C189" s="20">
        <v>0.93459999999999999</v>
      </c>
      <c r="D189" s="20">
        <v>20.413799999999998</v>
      </c>
      <c r="E189" s="20">
        <v>0.28120000000000001</v>
      </c>
      <c r="F189" s="20">
        <v>1.6999999999999999E-3</v>
      </c>
      <c r="G189" s="20">
        <v>6.1999999999999998E-3</v>
      </c>
      <c r="H189" s="23">
        <v>0.75200000032782555</v>
      </c>
    </row>
    <row r="190" spans="1:8" x14ac:dyDescent="0.25">
      <c r="A190" s="24">
        <v>147.63533333316451</v>
      </c>
      <c r="B190" s="20">
        <v>78.348299999999995</v>
      </c>
      <c r="C190" s="20">
        <v>0.9345</v>
      </c>
      <c r="D190" s="20">
        <v>20.413699999999999</v>
      </c>
      <c r="E190" s="20">
        <v>0.29480000000000001</v>
      </c>
      <c r="F190" s="20">
        <v>2.2000000000000001E-3</v>
      </c>
      <c r="G190" s="20">
        <v>6.4999999999999997E-3</v>
      </c>
      <c r="H190" s="23">
        <v>0.75116666778922081</v>
      </c>
    </row>
    <row r="191" spans="1:8" x14ac:dyDescent="0.25">
      <c r="A191" s="24">
        <v>148.50216666609049</v>
      </c>
      <c r="B191" s="20">
        <v>78.376800000000003</v>
      </c>
      <c r="C191" s="20">
        <v>0.93540000000000001</v>
      </c>
      <c r="D191" s="20">
        <v>20.418500000000002</v>
      </c>
      <c r="E191" s="20">
        <v>0.26079999999999998</v>
      </c>
      <c r="F191" s="20">
        <v>2E-3</v>
      </c>
      <c r="G191" s="20">
        <v>6.4000000000000003E-3</v>
      </c>
      <c r="H191" s="23">
        <v>0.86683333292603493</v>
      </c>
    </row>
    <row r="192" spans="1:8" x14ac:dyDescent="0.25">
      <c r="A192" s="24">
        <v>149.25616666674611</v>
      </c>
      <c r="B192" s="20">
        <v>78.373699999999999</v>
      </c>
      <c r="C192" s="20">
        <v>0.93489999999999995</v>
      </c>
      <c r="D192" s="20">
        <v>20.415400000000002</v>
      </c>
      <c r="E192" s="20">
        <v>0.26869999999999999</v>
      </c>
      <c r="F192" s="20">
        <v>1.5E-3</v>
      </c>
      <c r="G192" s="20">
        <v>5.7999999999999996E-3</v>
      </c>
      <c r="H192" s="23">
        <v>0.75400000065565109</v>
      </c>
    </row>
    <row r="193" spans="1:8" x14ac:dyDescent="0.25">
      <c r="A193" s="24">
        <v>150.0100000016391</v>
      </c>
      <c r="B193" s="20">
        <v>78.375799999999998</v>
      </c>
      <c r="C193" s="20">
        <v>0.93500000000000005</v>
      </c>
      <c r="D193" s="20">
        <v>20.411300000000001</v>
      </c>
      <c r="E193" s="20">
        <v>0.2702</v>
      </c>
      <c r="F193" s="20">
        <v>1.6000000000000001E-3</v>
      </c>
      <c r="G193" s="20">
        <v>6.1000000000000004E-3</v>
      </c>
      <c r="H193" s="23">
        <v>0.7538333348929882</v>
      </c>
    </row>
    <row r="194" spans="1:8" x14ac:dyDescent="0.25">
      <c r="A194" s="24">
        <v>150.76500000059599</v>
      </c>
      <c r="B194" s="20">
        <v>78.368899999999996</v>
      </c>
      <c r="C194" s="20">
        <v>0.93459999999999999</v>
      </c>
      <c r="D194" s="20">
        <v>20.4146</v>
      </c>
      <c r="E194" s="20">
        <v>0.27379999999999999</v>
      </c>
      <c r="F194" s="20">
        <v>1.6999999999999999E-3</v>
      </c>
      <c r="G194" s="20">
        <v>6.4000000000000003E-3</v>
      </c>
      <c r="H194" s="23">
        <v>0.75499999895691872</v>
      </c>
    </row>
    <row r="195" spans="1:8" x14ac:dyDescent="0.25">
      <c r="A195" s="24">
        <v>151.6286666691303</v>
      </c>
      <c r="B195" s="20">
        <v>78.377899999999997</v>
      </c>
      <c r="C195" s="20">
        <v>0.9355</v>
      </c>
      <c r="D195" s="20">
        <v>20.412400000000002</v>
      </c>
      <c r="E195" s="20">
        <v>0.26640000000000003</v>
      </c>
      <c r="F195" s="20">
        <v>8.9999999999999998E-4</v>
      </c>
      <c r="G195" s="20">
        <v>6.7999999999999996E-3</v>
      </c>
      <c r="H195" s="23">
        <v>0.86366666853427887</v>
      </c>
    </row>
    <row r="196" spans="1:8" x14ac:dyDescent="0.25">
      <c r="A196" s="24">
        <v>152.38149999827149</v>
      </c>
      <c r="B196" s="20">
        <v>78.391599999999997</v>
      </c>
      <c r="C196" s="20">
        <v>0.93459999999999999</v>
      </c>
      <c r="D196" s="20">
        <v>20.403099999999998</v>
      </c>
      <c r="E196" s="20">
        <v>0.26350000000000001</v>
      </c>
      <c r="F196" s="20">
        <v>1.1000000000000001E-3</v>
      </c>
      <c r="G196" s="20">
        <v>6.0000000000000001E-3</v>
      </c>
      <c r="H196" s="23">
        <v>0.75283332914113998</v>
      </c>
    </row>
    <row r="197" spans="1:8" x14ac:dyDescent="0.25">
      <c r="A197" s="24">
        <v>153.132666669786</v>
      </c>
      <c r="B197" s="20">
        <v>78.375100000000003</v>
      </c>
      <c r="C197" s="20">
        <v>0.93510000000000004</v>
      </c>
      <c r="D197" s="20">
        <v>20.407599999999999</v>
      </c>
      <c r="E197" s="20">
        <v>0.27479999999999999</v>
      </c>
      <c r="F197" s="20">
        <v>1.4E-3</v>
      </c>
      <c r="G197" s="20">
        <v>6.1000000000000004E-3</v>
      </c>
      <c r="H197" s="23">
        <v>0.75116667151451111</v>
      </c>
    </row>
    <row r="198" spans="1:8" x14ac:dyDescent="0.25">
      <c r="A198" s="24">
        <v>153.88533333316451</v>
      </c>
      <c r="B198" s="20">
        <v>78.371499999999997</v>
      </c>
      <c r="C198" s="20">
        <v>0.93469999999999998</v>
      </c>
      <c r="D198" s="20">
        <v>20.395099999999999</v>
      </c>
      <c r="E198" s="20">
        <v>0.2903</v>
      </c>
      <c r="F198" s="20">
        <v>1.6999999999999999E-3</v>
      </c>
      <c r="G198" s="20">
        <v>6.7999999999999996E-3</v>
      </c>
      <c r="H198" s="23">
        <v>0.7526666633784771</v>
      </c>
    </row>
    <row r="199" spans="1:8" x14ac:dyDescent="0.25">
      <c r="A199" s="24">
        <v>154.6398333385587</v>
      </c>
      <c r="B199" s="20">
        <v>78.349999999999994</v>
      </c>
      <c r="C199" s="20">
        <v>0.9345</v>
      </c>
      <c r="D199" s="20">
        <v>20.392600000000002</v>
      </c>
      <c r="E199" s="20">
        <v>0.31490000000000001</v>
      </c>
      <c r="F199" s="20">
        <v>1.8E-3</v>
      </c>
      <c r="G199" s="20">
        <v>6.1999999999999998E-3</v>
      </c>
      <c r="H199" s="23">
        <v>0.75450000539422035</v>
      </c>
    </row>
    <row r="200" spans="1:8" x14ac:dyDescent="0.25">
      <c r="A200" s="24">
        <v>155.4948333315551</v>
      </c>
      <c r="B200" s="20">
        <v>78.379400000000004</v>
      </c>
      <c r="C200" s="20">
        <v>0.93479999999999996</v>
      </c>
      <c r="D200" s="20">
        <v>20.398499999999999</v>
      </c>
      <c r="E200" s="20">
        <v>0.27900000000000003</v>
      </c>
      <c r="F200" s="20">
        <v>1.9E-3</v>
      </c>
      <c r="G200" s="20">
        <v>6.4000000000000003E-3</v>
      </c>
      <c r="H200" s="23">
        <v>0.85499999299645424</v>
      </c>
    </row>
    <row r="201" spans="1:8" x14ac:dyDescent="0.25">
      <c r="A201" s="24">
        <v>156.245833337307</v>
      </c>
      <c r="B201" s="20">
        <v>78.358699999999999</v>
      </c>
      <c r="C201" s="20">
        <v>0.93469999999999998</v>
      </c>
      <c r="D201" s="20">
        <v>20.3935</v>
      </c>
      <c r="E201" s="20">
        <v>0.30530000000000002</v>
      </c>
      <c r="F201" s="20">
        <v>1.6999999999999999E-3</v>
      </c>
      <c r="G201" s="20">
        <v>6.1000000000000004E-3</v>
      </c>
      <c r="H201" s="23">
        <v>0.75100000575184822</v>
      </c>
    </row>
    <row r="202" spans="1:8" x14ac:dyDescent="0.25">
      <c r="A202" s="24">
        <v>156.99233333393931</v>
      </c>
      <c r="B202" s="20">
        <v>78.351299999999995</v>
      </c>
      <c r="C202" s="20">
        <v>0.93469999999999998</v>
      </c>
      <c r="D202" s="20">
        <v>20.3978</v>
      </c>
      <c r="E202" s="20">
        <v>0.30740000000000001</v>
      </c>
      <c r="F202" s="20">
        <v>2E-3</v>
      </c>
      <c r="G202" s="20">
        <v>6.7999999999999996E-3</v>
      </c>
      <c r="H202" s="23">
        <v>0.74649999663233757</v>
      </c>
    </row>
    <row r="203" spans="1:8" x14ac:dyDescent="0.25">
      <c r="A203" s="24">
        <v>157.7426666691899</v>
      </c>
      <c r="B203" s="20">
        <v>78.367199999999997</v>
      </c>
      <c r="C203" s="20">
        <v>0.93440000000000001</v>
      </c>
      <c r="D203" s="20">
        <v>20.395</v>
      </c>
      <c r="E203" s="20">
        <v>0.29549999999999998</v>
      </c>
      <c r="F203" s="20">
        <v>1.6000000000000001E-3</v>
      </c>
      <c r="G203" s="20">
        <v>6.4000000000000003E-3</v>
      </c>
      <c r="H203" s="23">
        <v>0.75033333525061607</v>
      </c>
    </row>
    <row r="204" spans="1:8" x14ac:dyDescent="0.25">
      <c r="A204" s="24">
        <v>158.60483333095911</v>
      </c>
      <c r="B204" s="20">
        <v>78.361900000000006</v>
      </c>
      <c r="C204" s="20">
        <v>0.93600000000000005</v>
      </c>
      <c r="D204" s="20">
        <v>20.409300000000002</v>
      </c>
      <c r="E204" s="20">
        <v>0.28539999999999999</v>
      </c>
      <c r="F204" s="20">
        <v>1.1999999999999999E-3</v>
      </c>
      <c r="G204" s="20">
        <v>6.1999999999999998E-3</v>
      </c>
      <c r="H204" s="23">
        <v>0.86216666176915169</v>
      </c>
    </row>
    <row r="205" spans="1:8" x14ac:dyDescent="0.25">
      <c r="A205" s="24">
        <v>159.35900000110269</v>
      </c>
      <c r="B205" s="20">
        <v>78.372900000000001</v>
      </c>
      <c r="C205" s="20">
        <v>0.93540000000000001</v>
      </c>
      <c r="D205" s="20">
        <v>20.394500000000001</v>
      </c>
      <c r="E205" s="20">
        <v>0.2898</v>
      </c>
      <c r="F205" s="20">
        <v>1.6999999999999999E-3</v>
      </c>
      <c r="G205" s="20">
        <v>5.7000000000000002E-3</v>
      </c>
      <c r="H205" s="23">
        <v>0.75416667014360428</v>
      </c>
    </row>
    <row r="206" spans="1:8" x14ac:dyDescent="0.25">
      <c r="A206" s="24">
        <v>160.11466666683549</v>
      </c>
      <c r="B206" s="20">
        <v>78.373900000000006</v>
      </c>
      <c r="C206" s="20">
        <v>0.93540000000000001</v>
      </c>
      <c r="D206" s="20">
        <v>20.386099999999999</v>
      </c>
      <c r="E206" s="20">
        <v>0.29630000000000001</v>
      </c>
      <c r="F206" s="20">
        <v>1.9E-3</v>
      </c>
      <c r="G206" s="20">
        <v>6.4000000000000003E-3</v>
      </c>
      <c r="H206" s="23">
        <v>0.75566666573286057</v>
      </c>
    </row>
    <row r="207" spans="1:8" x14ac:dyDescent="0.25">
      <c r="A207" s="24">
        <v>160.86749999970201</v>
      </c>
      <c r="B207" s="20">
        <v>78.352000000000004</v>
      </c>
      <c r="C207" s="20">
        <v>0.9355</v>
      </c>
      <c r="D207" s="20">
        <v>20.388200000000001</v>
      </c>
      <c r="E207" s="20">
        <v>0.31659999999999999</v>
      </c>
      <c r="F207" s="20">
        <v>1.5E-3</v>
      </c>
      <c r="G207" s="20">
        <v>6.1999999999999998E-3</v>
      </c>
      <c r="H207" s="23">
        <v>0.75283333286643028</v>
      </c>
    </row>
    <row r="208" spans="1:8" x14ac:dyDescent="0.25">
      <c r="A208" s="24">
        <v>161.6140000000596</v>
      </c>
      <c r="B208" s="20">
        <v>78.349900000000005</v>
      </c>
      <c r="C208" s="20">
        <v>0.93510000000000004</v>
      </c>
      <c r="D208" s="20">
        <v>20.3842</v>
      </c>
      <c r="E208" s="20">
        <v>0.32240000000000002</v>
      </c>
      <c r="F208" s="20">
        <v>2.0999999999999999E-3</v>
      </c>
      <c r="G208" s="20">
        <v>6.3E-3</v>
      </c>
      <c r="H208" s="23">
        <v>0.74650000035762787</v>
      </c>
    </row>
    <row r="209" spans="1:8" x14ac:dyDescent="0.25">
      <c r="A209" s="24">
        <v>162.47466666996479</v>
      </c>
      <c r="B209" s="20">
        <v>78.384</v>
      </c>
      <c r="C209" s="20">
        <v>0.9345</v>
      </c>
      <c r="D209" s="20">
        <v>20.389600000000002</v>
      </c>
      <c r="E209" s="20">
        <v>0.28420000000000001</v>
      </c>
      <c r="F209" s="20">
        <v>1.2999999999999999E-3</v>
      </c>
      <c r="G209" s="20">
        <v>6.4000000000000003E-3</v>
      </c>
      <c r="H209" s="23">
        <v>0.8606666699051857</v>
      </c>
    </row>
    <row r="210" spans="1:8" x14ac:dyDescent="0.25">
      <c r="A210" s="24">
        <v>163.22850000485781</v>
      </c>
      <c r="B210" s="20">
        <v>78.357299999999995</v>
      </c>
      <c r="C210" s="20">
        <v>0.93530000000000002</v>
      </c>
      <c r="D210" s="20">
        <v>20.392900000000001</v>
      </c>
      <c r="E210" s="20">
        <v>0.30690000000000001</v>
      </c>
      <c r="F210" s="20">
        <v>1.6000000000000001E-3</v>
      </c>
      <c r="G210" s="20">
        <v>6.0000000000000001E-3</v>
      </c>
      <c r="H210" s="23">
        <v>0.7538333348929882</v>
      </c>
    </row>
    <row r="211" spans="1:8" x14ac:dyDescent="0.25">
      <c r="A211" s="24">
        <v>163.97483333200219</v>
      </c>
      <c r="B211" s="20">
        <v>78.367099999999994</v>
      </c>
      <c r="C211" s="20">
        <v>0.93469999999999998</v>
      </c>
      <c r="D211" s="20">
        <v>20.3781</v>
      </c>
      <c r="E211" s="20">
        <v>0.31280000000000002</v>
      </c>
      <c r="F211" s="20">
        <v>8.9999999999999998E-4</v>
      </c>
      <c r="G211" s="20">
        <v>6.4000000000000003E-3</v>
      </c>
      <c r="H211" s="23">
        <v>0.74633332714438438</v>
      </c>
    </row>
    <row r="212" spans="1:8" x14ac:dyDescent="0.25">
      <c r="A212" s="24">
        <v>164.72383333742621</v>
      </c>
      <c r="B212" s="20">
        <v>78.359300000000005</v>
      </c>
      <c r="C212" s="20">
        <v>0.93469999999999998</v>
      </c>
      <c r="D212" s="20">
        <v>20.372299999999999</v>
      </c>
      <c r="E212" s="20">
        <v>0.32519999999999999</v>
      </c>
      <c r="F212" s="20">
        <v>1.6999999999999999E-3</v>
      </c>
      <c r="G212" s="20">
        <v>6.8999999999999999E-3</v>
      </c>
      <c r="H212" s="23">
        <v>0.74900000542402267</v>
      </c>
    </row>
    <row r="213" spans="1:8" x14ac:dyDescent="0.25">
      <c r="A213" s="24">
        <v>165.5840000025928</v>
      </c>
      <c r="B213" s="20">
        <v>78.364500000000007</v>
      </c>
      <c r="C213" s="20">
        <v>0.93530000000000002</v>
      </c>
      <c r="D213" s="20">
        <v>20.377600000000001</v>
      </c>
      <c r="E213" s="20">
        <v>0.31440000000000001</v>
      </c>
      <c r="F213" s="20">
        <v>1.9E-3</v>
      </c>
      <c r="G213" s="20">
        <v>6.3E-3</v>
      </c>
      <c r="H213" s="23">
        <v>0.86016666516661644</v>
      </c>
    </row>
    <row r="214" spans="1:8" x14ac:dyDescent="0.25">
      <c r="A214" s="24">
        <v>166.32966666668651</v>
      </c>
      <c r="B214" s="20">
        <v>78.363</v>
      </c>
      <c r="C214" s="20">
        <v>0.93530000000000002</v>
      </c>
      <c r="D214" s="20">
        <v>20.378299999999999</v>
      </c>
      <c r="E214" s="20">
        <v>0.316</v>
      </c>
      <c r="F214" s="20">
        <v>1.2999999999999999E-3</v>
      </c>
      <c r="G214" s="20">
        <v>6.1000000000000004E-3</v>
      </c>
      <c r="H214" s="23">
        <v>0.74566666409373283</v>
      </c>
    </row>
    <row r="215" spans="1:8" x14ac:dyDescent="0.25">
      <c r="A215" s="24">
        <v>167.07733333483341</v>
      </c>
      <c r="B215" s="20">
        <v>78.355900000000005</v>
      </c>
      <c r="C215" s="20">
        <v>0.93510000000000004</v>
      </c>
      <c r="D215" s="20">
        <v>20.3796</v>
      </c>
      <c r="E215" s="20">
        <v>0.32119999999999999</v>
      </c>
      <c r="F215" s="20">
        <v>1.6999999999999999E-3</v>
      </c>
      <c r="G215" s="20">
        <v>6.4999999999999997E-3</v>
      </c>
      <c r="H215" s="23">
        <v>0.74766666814684868</v>
      </c>
    </row>
    <row r="216" spans="1:8" x14ac:dyDescent="0.25">
      <c r="A216" s="24">
        <v>167.82316667214039</v>
      </c>
      <c r="B216" s="20">
        <v>78.358099999999993</v>
      </c>
      <c r="C216" s="20">
        <v>0.93520000000000003</v>
      </c>
      <c r="D216" s="20">
        <v>20.377300000000002</v>
      </c>
      <c r="E216" s="20">
        <v>0.32190000000000002</v>
      </c>
      <c r="F216" s="20">
        <v>8.9999999999999998E-4</v>
      </c>
      <c r="G216" s="20">
        <v>6.4999999999999997E-3</v>
      </c>
      <c r="H216" s="23">
        <v>0.74583333730697632</v>
      </c>
    </row>
    <row r="217" spans="1:8" x14ac:dyDescent="0.25">
      <c r="A217" s="24">
        <v>168.57283333316451</v>
      </c>
      <c r="B217" s="20">
        <v>78.361599999999996</v>
      </c>
      <c r="C217" s="20">
        <v>0.93459999999999999</v>
      </c>
      <c r="D217" s="20">
        <v>20.3706</v>
      </c>
      <c r="E217" s="20">
        <v>0.32550000000000001</v>
      </c>
      <c r="F217" s="20">
        <v>1.5E-3</v>
      </c>
      <c r="G217" s="20">
        <v>6.1000000000000004E-3</v>
      </c>
      <c r="H217" s="23">
        <v>0.74966666102409363</v>
      </c>
    </row>
    <row r="218" spans="1:8" x14ac:dyDescent="0.25">
      <c r="A218" s="24">
        <v>169.4340000003576</v>
      </c>
      <c r="B218" s="20">
        <v>78.391099999999994</v>
      </c>
      <c r="C218" s="20">
        <v>0.93530000000000002</v>
      </c>
      <c r="D218" s="20">
        <v>20.376000000000001</v>
      </c>
      <c r="E218" s="20">
        <v>0.2903</v>
      </c>
      <c r="F218" s="20">
        <v>1.1999999999999999E-3</v>
      </c>
      <c r="G218" s="20">
        <v>6.1999999999999998E-3</v>
      </c>
      <c r="H218" s="23">
        <v>0.86116666719317436</v>
      </c>
    </row>
    <row r="219" spans="1:8" x14ac:dyDescent="0.25">
      <c r="A219" s="24">
        <v>170.18766666948801</v>
      </c>
      <c r="B219" s="20">
        <v>78.366699999999994</v>
      </c>
      <c r="C219" s="20">
        <v>0.93479999999999996</v>
      </c>
      <c r="D219" s="20">
        <v>20.3689</v>
      </c>
      <c r="E219" s="20">
        <v>0.32179999999999997</v>
      </c>
      <c r="F219" s="20">
        <v>1.5E-3</v>
      </c>
      <c r="G219" s="20">
        <v>6.3E-3</v>
      </c>
      <c r="H219" s="23">
        <v>0.75366666913032532</v>
      </c>
    </row>
    <row r="220" spans="1:8" x14ac:dyDescent="0.25">
      <c r="A220" s="24">
        <v>170.93383333832031</v>
      </c>
      <c r="B220" s="20">
        <v>78.366900000000001</v>
      </c>
      <c r="C220" s="20">
        <v>0.93520000000000003</v>
      </c>
      <c r="D220" s="20">
        <v>20.3673</v>
      </c>
      <c r="E220" s="20">
        <v>0.3226</v>
      </c>
      <c r="F220" s="20">
        <v>1.6999999999999999E-3</v>
      </c>
      <c r="G220" s="20">
        <v>6.3E-3</v>
      </c>
      <c r="H220" s="23">
        <v>0.74616666883230209</v>
      </c>
    </row>
    <row r="221" spans="1:8" x14ac:dyDescent="0.25">
      <c r="A221" s="24">
        <v>171.6798333376646</v>
      </c>
      <c r="B221" s="20">
        <v>78.372200000000007</v>
      </c>
      <c r="C221" s="20">
        <v>0.93459999999999999</v>
      </c>
      <c r="D221" s="20">
        <v>20.3565</v>
      </c>
      <c r="E221" s="20">
        <v>0.32829999999999998</v>
      </c>
      <c r="F221" s="20">
        <v>2E-3</v>
      </c>
      <c r="G221" s="20">
        <v>6.4000000000000003E-3</v>
      </c>
      <c r="H221" s="23">
        <v>0.74599999934434891</v>
      </c>
    </row>
    <row r="222" spans="1:8" x14ac:dyDescent="0.25">
      <c r="A222" s="24">
        <v>172.53299999982119</v>
      </c>
      <c r="B222" s="20">
        <v>78.392099999999999</v>
      </c>
      <c r="C222" s="20">
        <v>0.93559999999999999</v>
      </c>
      <c r="D222" s="20">
        <v>20.3657</v>
      </c>
      <c r="E222" s="20">
        <v>0.29899999999999999</v>
      </c>
      <c r="F222" s="20">
        <v>1.1999999999999999E-3</v>
      </c>
      <c r="G222" s="20">
        <v>6.4000000000000003E-3</v>
      </c>
      <c r="H222" s="23">
        <v>0.85316666215658188</v>
      </c>
    </row>
    <row r="223" spans="1:8" x14ac:dyDescent="0.25">
      <c r="A223" s="24">
        <v>173.28566666692501</v>
      </c>
      <c r="B223" s="20">
        <v>78.374099999999999</v>
      </c>
      <c r="C223" s="20">
        <v>0.93520000000000003</v>
      </c>
      <c r="D223" s="20">
        <v>20.3629</v>
      </c>
      <c r="E223" s="20">
        <v>0.32029999999999997</v>
      </c>
      <c r="F223" s="20">
        <v>6.9999999999999999E-4</v>
      </c>
      <c r="G223" s="20">
        <v>6.7999999999999996E-3</v>
      </c>
      <c r="H223" s="23">
        <v>0.7526666671037674</v>
      </c>
    </row>
    <row r="224" spans="1:8" x14ac:dyDescent="0.25">
      <c r="A224" s="24">
        <v>174.03216666728261</v>
      </c>
      <c r="B224" s="20">
        <v>78.370699999999999</v>
      </c>
      <c r="C224" s="20">
        <v>0.93479999999999996</v>
      </c>
      <c r="D224" s="20">
        <v>20.3596</v>
      </c>
      <c r="E224" s="20">
        <v>0.3266</v>
      </c>
      <c r="F224" s="20">
        <v>1.6999999999999999E-3</v>
      </c>
      <c r="G224" s="20">
        <v>6.6E-3</v>
      </c>
      <c r="H224" s="23">
        <v>0.74650000035762787</v>
      </c>
    </row>
    <row r="225" spans="1:8" x14ac:dyDescent="0.25">
      <c r="A225" s="24">
        <v>174.77766666933891</v>
      </c>
      <c r="B225" s="20">
        <v>78.358999999999995</v>
      </c>
      <c r="C225" s="20">
        <v>0.93510000000000004</v>
      </c>
      <c r="D225" s="20">
        <v>20.359200000000001</v>
      </c>
      <c r="E225" s="20">
        <v>0.33850000000000002</v>
      </c>
      <c r="F225" s="20">
        <v>1.6000000000000001E-3</v>
      </c>
      <c r="G225" s="20">
        <v>6.6E-3</v>
      </c>
      <c r="H225" s="23">
        <v>0.74550000205636024</v>
      </c>
    </row>
    <row r="226" spans="1:8" x14ac:dyDescent="0.25">
      <c r="A226" s="24">
        <v>175.5251666717231</v>
      </c>
      <c r="B226" s="20">
        <v>78.354399999999998</v>
      </c>
      <c r="C226" s="20">
        <v>0.93520000000000003</v>
      </c>
      <c r="D226" s="20">
        <v>20.357600000000001</v>
      </c>
      <c r="E226" s="20">
        <v>0.34470000000000001</v>
      </c>
      <c r="F226" s="20">
        <v>1.1999999999999999E-3</v>
      </c>
      <c r="G226" s="20">
        <v>6.7999999999999996E-3</v>
      </c>
      <c r="H226" s="23">
        <v>0.74750000238418579</v>
      </c>
    </row>
    <row r="227" spans="1:8" x14ac:dyDescent="0.25">
      <c r="A227" s="24">
        <v>176.38166666775939</v>
      </c>
      <c r="B227" s="20">
        <v>78.381200000000007</v>
      </c>
      <c r="C227" s="20">
        <v>0.93520000000000003</v>
      </c>
      <c r="D227" s="20">
        <v>20.360199999999999</v>
      </c>
      <c r="E227" s="20">
        <v>0.3155</v>
      </c>
      <c r="F227" s="20">
        <v>1.1999999999999999E-3</v>
      </c>
      <c r="G227" s="20">
        <v>6.7000000000000002E-3</v>
      </c>
      <c r="H227" s="23">
        <v>0.85649999603629112</v>
      </c>
    </row>
    <row r="228" spans="1:8" x14ac:dyDescent="0.25">
      <c r="A228" s="24">
        <v>177.1268333308399</v>
      </c>
      <c r="B228" s="20">
        <v>78.367699999999999</v>
      </c>
      <c r="C228" s="20">
        <v>0.93569999999999998</v>
      </c>
      <c r="D228" s="20">
        <v>20.364699999999999</v>
      </c>
      <c r="E228" s="20">
        <v>0.3251</v>
      </c>
      <c r="F228" s="20">
        <v>6.9999999999999999E-4</v>
      </c>
      <c r="G228" s="20">
        <v>6.1000000000000004E-3</v>
      </c>
      <c r="H228" s="23">
        <v>0.74516666308045387</v>
      </c>
    </row>
    <row r="229" spans="1:8" x14ac:dyDescent="0.25">
      <c r="A229" s="24">
        <v>177.87450000271201</v>
      </c>
      <c r="B229" s="20">
        <v>78.373199999999997</v>
      </c>
      <c r="C229" s="20">
        <v>0.93489999999999995</v>
      </c>
      <c r="D229" s="20">
        <v>20.354199999999999</v>
      </c>
      <c r="E229" s="20">
        <v>0.32879999999999998</v>
      </c>
      <c r="F229" s="20">
        <v>2.3E-3</v>
      </c>
      <c r="G229" s="20">
        <v>6.4999999999999997E-3</v>
      </c>
      <c r="H229" s="23">
        <v>0.74766667187213898</v>
      </c>
    </row>
    <row r="230" spans="1:8" x14ac:dyDescent="0.25">
      <c r="A230" s="24">
        <v>178.6231666691601</v>
      </c>
      <c r="B230" s="20">
        <v>78.369100000000003</v>
      </c>
      <c r="C230" s="20">
        <v>0.93489999999999995</v>
      </c>
      <c r="D230" s="20">
        <v>20.357099999999999</v>
      </c>
      <c r="E230" s="20">
        <v>0.33029999999999998</v>
      </c>
      <c r="F230" s="20">
        <v>2E-3</v>
      </c>
      <c r="G230" s="20">
        <v>6.4999999999999997E-3</v>
      </c>
      <c r="H230" s="23">
        <v>0.7486666664481163</v>
      </c>
    </row>
    <row r="231" spans="1:8" x14ac:dyDescent="0.25">
      <c r="A231" s="24">
        <v>179.48116667196149</v>
      </c>
      <c r="B231" s="20">
        <v>78.373599999999996</v>
      </c>
      <c r="C231" s="20">
        <v>0.93510000000000004</v>
      </c>
      <c r="D231" s="20">
        <v>20.3582</v>
      </c>
      <c r="E231" s="20">
        <v>0.32490000000000002</v>
      </c>
      <c r="F231" s="20">
        <v>1.8E-3</v>
      </c>
      <c r="G231" s="20">
        <v>6.4000000000000003E-3</v>
      </c>
      <c r="H231" s="23">
        <v>0.8580000028014183</v>
      </c>
    </row>
    <row r="232" spans="1:8" x14ac:dyDescent="0.25">
      <c r="A232" s="24">
        <v>180.22683333232999</v>
      </c>
      <c r="B232" s="20">
        <v>78.377499999999998</v>
      </c>
      <c r="C232" s="20">
        <v>0.93459999999999999</v>
      </c>
      <c r="D232" s="20">
        <v>20.351199999999999</v>
      </c>
      <c r="E232" s="20">
        <v>0.3281</v>
      </c>
      <c r="F232" s="20">
        <v>2E-3</v>
      </c>
      <c r="G232" s="20">
        <v>6.6E-3</v>
      </c>
      <c r="H232" s="23">
        <v>0.74566666036844254</v>
      </c>
    </row>
    <row r="233" spans="1:8" x14ac:dyDescent="0.25">
      <c r="A233" s="24">
        <v>180.9754999987781</v>
      </c>
      <c r="B233" s="20">
        <v>78.366900000000001</v>
      </c>
      <c r="C233" s="20">
        <v>0.93520000000000003</v>
      </c>
      <c r="D233" s="20">
        <v>20.3566</v>
      </c>
      <c r="E233" s="20">
        <v>0.33329999999999999</v>
      </c>
      <c r="F233" s="20">
        <v>1.6000000000000001E-3</v>
      </c>
      <c r="G233" s="20">
        <v>6.4000000000000003E-3</v>
      </c>
      <c r="H233" s="23">
        <v>0.7486666664481163</v>
      </c>
    </row>
    <row r="234" spans="1:8" x14ac:dyDescent="0.25">
      <c r="A234" s="24">
        <v>181.72033333405849</v>
      </c>
      <c r="B234" s="20">
        <v>78.370500000000007</v>
      </c>
      <c r="C234" s="20">
        <v>0.93589999999999995</v>
      </c>
      <c r="D234" s="20">
        <v>20.356000000000002</v>
      </c>
      <c r="E234" s="20">
        <v>0.32919999999999999</v>
      </c>
      <c r="F234" s="20">
        <v>2E-3</v>
      </c>
      <c r="G234" s="20">
        <v>6.3E-3</v>
      </c>
      <c r="H234" s="23">
        <v>0.7448333352804184</v>
      </c>
    </row>
    <row r="235" spans="1:8" x14ac:dyDescent="0.25">
      <c r="A235" s="24">
        <v>182.46900000050661</v>
      </c>
      <c r="B235" s="20">
        <v>78.373199999999997</v>
      </c>
      <c r="C235" s="20">
        <v>0.93500000000000005</v>
      </c>
      <c r="D235" s="20">
        <v>20.350100000000001</v>
      </c>
      <c r="E235" s="20">
        <v>0.3337</v>
      </c>
      <c r="F235" s="20">
        <v>1.5E-3</v>
      </c>
      <c r="G235" s="20">
        <v>6.6E-3</v>
      </c>
      <c r="H235" s="23">
        <v>0.7486666664481163</v>
      </c>
    </row>
    <row r="236" spans="1:8" x14ac:dyDescent="0.25">
      <c r="A236" s="24">
        <v>183.3251666687429</v>
      </c>
      <c r="B236" s="20">
        <v>78.387699999999995</v>
      </c>
      <c r="C236" s="20">
        <v>0.93559999999999999</v>
      </c>
      <c r="D236" s="20">
        <v>20.358799999999999</v>
      </c>
      <c r="E236" s="20">
        <v>0.31</v>
      </c>
      <c r="F236" s="20">
        <v>1.4E-3</v>
      </c>
      <c r="G236" s="20">
        <v>6.4999999999999997E-3</v>
      </c>
      <c r="H236" s="23">
        <v>0.85616666823625565</v>
      </c>
    </row>
    <row r="237" spans="1:8" x14ac:dyDescent="0.25">
      <c r="A237" s="24">
        <v>184.0708333328366</v>
      </c>
      <c r="B237" s="20">
        <v>78.388800000000003</v>
      </c>
      <c r="C237" s="20">
        <v>0.9355</v>
      </c>
      <c r="D237" s="20">
        <v>20.360600000000002</v>
      </c>
      <c r="E237" s="20">
        <v>0.30740000000000001</v>
      </c>
      <c r="F237" s="20">
        <v>1.2999999999999999E-3</v>
      </c>
      <c r="G237" s="20">
        <v>6.4999999999999997E-3</v>
      </c>
      <c r="H237" s="23">
        <v>0.74566666409373283</v>
      </c>
    </row>
    <row r="238" spans="1:8" x14ac:dyDescent="0.25">
      <c r="A238" s="24">
        <v>184.81183333694929</v>
      </c>
      <c r="B238" s="20">
        <v>78.382199999999997</v>
      </c>
      <c r="C238" s="20">
        <v>0.93569999999999998</v>
      </c>
      <c r="D238" s="20">
        <v>20.360600000000002</v>
      </c>
      <c r="E238" s="20">
        <v>0.31380000000000002</v>
      </c>
      <c r="F238" s="20">
        <v>1.2999999999999999E-3</v>
      </c>
      <c r="G238" s="20">
        <v>6.4000000000000003E-3</v>
      </c>
      <c r="H238" s="23">
        <v>0.74100000411272049</v>
      </c>
    </row>
    <row r="239" spans="1:8" x14ac:dyDescent="0.25">
      <c r="A239" s="24">
        <v>185.55833333358169</v>
      </c>
      <c r="B239" s="20">
        <v>78.381100000000004</v>
      </c>
      <c r="C239" s="20">
        <v>0.93510000000000004</v>
      </c>
      <c r="D239" s="20">
        <v>20.3613</v>
      </c>
      <c r="E239" s="20">
        <v>0.31519999999999998</v>
      </c>
      <c r="F239" s="20">
        <v>1.2999999999999999E-3</v>
      </c>
      <c r="G239" s="20">
        <v>6.1000000000000004E-3</v>
      </c>
      <c r="H239" s="23">
        <v>0.74649999663233757</v>
      </c>
    </row>
    <row r="240" spans="1:8" x14ac:dyDescent="0.25">
      <c r="A240" s="24">
        <v>186.41283333301541</v>
      </c>
      <c r="B240" s="20">
        <v>78.393900000000002</v>
      </c>
      <c r="C240" s="20">
        <v>0.93489999999999995</v>
      </c>
      <c r="D240" s="20">
        <v>20.351700000000001</v>
      </c>
      <c r="E240" s="20">
        <v>0.31219999999999998</v>
      </c>
      <c r="F240" s="20">
        <v>1.5E-3</v>
      </c>
      <c r="G240" s="20">
        <v>5.7999999999999996E-3</v>
      </c>
      <c r="H240" s="23">
        <v>0.85449999943375587</v>
      </c>
    </row>
    <row r="241" spans="1:8" x14ac:dyDescent="0.25">
      <c r="A241" s="24">
        <v>187.15733333304519</v>
      </c>
      <c r="B241" s="20">
        <v>78.383700000000005</v>
      </c>
      <c r="C241" s="20">
        <v>0.93500000000000005</v>
      </c>
      <c r="D241" s="20">
        <v>20.357500000000002</v>
      </c>
      <c r="E241" s="20">
        <v>0.31780000000000003</v>
      </c>
      <c r="F241" s="20">
        <v>0</v>
      </c>
      <c r="G241" s="20">
        <v>6.0000000000000001E-3</v>
      </c>
      <c r="H241" s="23">
        <v>0.74450000002980232</v>
      </c>
    </row>
    <row r="242" spans="1:8" x14ac:dyDescent="0.25">
      <c r="A242" s="24">
        <v>187.90516667067999</v>
      </c>
      <c r="B242" s="20">
        <v>78.376599999999996</v>
      </c>
      <c r="C242" s="20">
        <v>0.93559999999999999</v>
      </c>
      <c r="D242" s="20">
        <v>20.3612</v>
      </c>
      <c r="E242" s="20">
        <v>0.31869999999999998</v>
      </c>
      <c r="F242" s="20">
        <v>1.6999999999999999E-3</v>
      </c>
      <c r="G242" s="20">
        <v>6.1999999999999998E-3</v>
      </c>
      <c r="H242" s="23">
        <v>0.74783333763480186</v>
      </c>
    </row>
    <row r="243" spans="1:8" x14ac:dyDescent="0.25">
      <c r="A243" s="24">
        <v>188.65016666427249</v>
      </c>
      <c r="B243" s="20">
        <v>78.376400000000004</v>
      </c>
      <c r="C243" s="20">
        <v>0.93459999999999999</v>
      </c>
      <c r="D243" s="20">
        <v>20.353899999999999</v>
      </c>
      <c r="E243" s="20">
        <v>0.32690000000000002</v>
      </c>
      <c r="F243" s="20">
        <v>1.8E-3</v>
      </c>
      <c r="G243" s="20">
        <v>6.4000000000000003E-3</v>
      </c>
      <c r="H243" s="23">
        <v>0.74499999359250069</v>
      </c>
    </row>
    <row r="244" spans="1:8" x14ac:dyDescent="0.25">
      <c r="A244" s="24">
        <v>189.39466666802761</v>
      </c>
      <c r="B244" s="20">
        <v>78.369699999999995</v>
      </c>
      <c r="C244" s="20">
        <v>0.9355</v>
      </c>
      <c r="D244" s="20">
        <v>20.3583</v>
      </c>
      <c r="E244" s="20">
        <v>0.3291</v>
      </c>
      <c r="F244" s="20">
        <v>1.4E-3</v>
      </c>
      <c r="G244" s="20">
        <v>6.1000000000000004E-3</v>
      </c>
      <c r="H244" s="23">
        <v>0.74450000375509262</v>
      </c>
    </row>
    <row r="245" spans="1:8" x14ac:dyDescent="0.25">
      <c r="A245" s="24">
        <v>190.24700000137091</v>
      </c>
      <c r="B245" s="20">
        <v>78.407700000000006</v>
      </c>
      <c r="C245" s="20">
        <v>0.93559999999999999</v>
      </c>
      <c r="D245" s="20">
        <v>20.368200000000002</v>
      </c>
      <c r="E245" s="20">
        <v>0.28000000000000003</v>
      </c>
      <c r="F245" s="20">
        <v>1.9E-3</v>
      </c>
      <c r="G245" s="20">
        <v>6.7000000000000002E-3</v>
      </c>
      <c r="H245" s="23">
        <v>0.85233333334326744</v>
      </c>
    </row>
    <row r="246" spans="1:8" x14ac:dyDescent="0.25">
      <c r="A246" s="24">
        <v>191.0005000047386</v>
      </c>
      <c r="B246" s="20">
        <v>78.399500000000003</v>
      </c>
      <c r="C246" s="20">
        <v>0.93510000000000004</v>
      </c>
      <c r="D246" s="20">
        <v>20.371300000000002</v>
      </c>
      <c r="E246" s="20">
        <v>0.28460000000000002</v>
      </c>
      <c r="F246" s="20">
        <v>3.0000000000000001E-3</v>
      </c>
      <c r="G246" s="20">
        <v>6.4000000000000003E-3</v>
      </c>
      <c r="H246" s="23">
        <v>0.75350000336766243</v>
      </c>
    </row>
    <row r="247" spans="1:8" x14ac:dyDescent="0.25">
      <c r="A247" s="24">
        <v>191.7551666684449</v>
      </c>
      <c r="B247" s="20">
        <v>78.389899999999997</v>
      </c>
      <c r="C247" s="20">
        <v>0.93540000000000001</v>
      </c>
      <c r="D247" s="20">
        <v>20.380299999999998</v>
      </c>
      <c r="E247" s="20">
        <v>0.28560000000000002</v>
      </c>
      <c r="F247" s="20">
        <v>1.9E-3</v>
      </c>
      <c r="G247" s="20">
        <v>6.7999999999999996E-3</v>
      </c>
      <c r="H247" s="23">
        <v>0.75466666370630264</v>
      </c>
    </row>
    <row r="248" spans="1:8" x14ac:dyDescent="0.25">
      <c r="A248" s="24">
        <v>192.50783333554861</v>
      </c>
      <c r="B248" s="20">
        <v>78.389200000000002</v>
      </c>
      <c r="C248" s="20">
        <v>0.93569999999999998</v>
      </c>
      <c r="D248" s="20">
        <v>20.380700000000001</v>
      </c>
      <c r="E248" s="20">
        <v>0.28560000000000002</v>
      </c>
      <c r="F248" s="20">
        <v>2.0999999999999999E-3</v>
      </c>
      <c r="G248" s="20">
        <v>6.7000000000000002E-3</v>
      </c>
      <c r="H248" s="23">
        <v>0.7526666671037674</v>
      </c>
    </row>
    <row r="249" spans="1:8" x14ac:dyDescent="0.25">
      <c r="A249" s="24">
        <v>193.3715000003576</v>
      </c>
      <c r="B249" s="20">
        <v>78.399699999999996</v>
      </c>
      <c r="C249" s="20">
        <v>0.93600000000000005</v>
      </c>
      <c r="D249" s="20">
        <v>20.3825</v>
      </c>
      <c r="E249" s="20">
        <v>0.27379999999999999</v>
      </c>
      <c r="F249" s="20">
        <v>1.5E-3</v>
      </c>
      <c r="G249" s="20">
        <v>6.4999999999999997E-3</v>
      </c>
      <c r="H249" s="23">
        <v>0.86366666480898857</v>
      </c>
    </row>
    <row r="250" spans="1:8" x14ac:dyDescent="0.25">
      <c r="A250" s="24">
        <v>194.12533333525059</v>
      </c>
      <c r="B250" s="20">
        <v>78.397499999999994</v>
      </c>
      <c r="C250" s="20">
        <v>0.93520000000000003</v>
      </c>
      <c r="D250" s="20">
        <v>20.3828</v>
      </c>
      <c r="E250" s="20">
        <v>0.27650000000000002</v>
      </c>
      <c r="F250" s="20">
        <v>1.6000000000000001E-3</v>
      </c>
      <c r="G250" s="20">
        <v>6.4999999999999997E-3</v>
      </c>
      <c r="H250" s="23">
        <v>0.7538333348929882</v>
      </c>
    </row>
    <row r="251" spans="1:8" x14ac:dyDescent="0.25">
      <c r="A251" s="24">
        <v>194.87783333659169</v>
      </c>
      <c r="B251" s="20">
        <v>78.391400000000004</v>
      </c>
      <c r="C251" s="20">
        <v>0.93510000000000004</v>
      </c>
      <c r="D251" s="20">
        <v>20.387699999999999</v>
      </c>
      <c r="E251" s="20">
        <v>0.27860000000000001</v>
      </c>
      <c r="F251" s="20">
        <v>1.1000000000000001E-3</v>
      </c>
      <c r="G251" s="20">
        <v>6.1999999999999998E-3</v>
      </c>
      <c r="H251" s="23">
        <v>0.75250000134110451</v>
      </c>
    </row>
    <row r="252" spans="1:8" x14ac:dyDescent="0.25">
      <c r="A252" s="24">
        <v>195.63166666775939</v>
      </c>
      <c r="B252" s="20">
        <v>78.385099999999994</v>
      </c>
      <c r="C252" s="20">
        <v>0.93520000000000003</v>
      </c>
      <c r="D252" s="20">
        <v>20.3887</v>
      </c>
      <c r="E252" s="20">
        <v>0.28370000000000001</v>
      </c>
      <c r="F252" s="20">
        <v>1.4E-3</v>
      </c>
      <c r="G252" s="20">
        <v>6.1000000000000004E-3</v>
      </c>
      <c r="H252" s="23">
        <v>0.75383333116769791</v>
      </c>
    </row>
    <row r="253" spans="1:8" x14ac:dyDescent="0.25">
      <c r="A253" s="24">
        <v>196.38250000402331</v>
      </c>
      <c r="B253" s="20">
        <v>78.383700000000005</v>
      </c>
      <c r="C253" s="20">
        <v>0.9355</v>
      </c>
      <c r="D253" s="20">
        <v>20.387499999999999</v>
      </c>
      <c r="E253" s="20">
        <v>0.28510000000000002</v>
      </c>
      <c r="F253" s="20">
        <v>1.5E-3</v>
      </c>
      <c r="G253" s="20">
        <v>6.7000000000000002E-3</v>
      </c>
      <c r="H253" s="23">
        <v>0.75083333626389503</v>
      </c>
    </row>
    <row r="254" spans="1:8" x14ac:dyDescent="0.25">
      <c r="A254" s="24">
        <v>197.24416666477919</v>
      </c>
      <c r="B254" s="20">
        <v>78.401700000000005</v>
      </c>
      <c r="C254" s="20">
        <v>0.93579999999999997</v>
      </c>
      <c r="D254" s="20">
        <v>20.398</v>
      </c>
      <c r="E254" s="20">
        <v>0.25609999999999999</v>
      </c>
      <c r="F254" s="20">
        <v>2.2000000000000001E-3</v>
      </c>
      <c r="G254" s="20">
        <v>6.1999999999999998E-3</v>
      </c>
      <c r="H254" s="23">
        <v>0.86166666075587273</v>
      </c>
    </row>
    <row r="255" spans="1:8" x14ac:dyDescent="0.25">
      <c r="A255" s="24">
        <v>197.99416666477919</v>
      </c>
      <c r="B255" s="20">
        <v>78.392499999999998</v>
      </c>
      <c r="C255" s="20">
        <v>0.93479999999999996</v>
      </c>
      <c r="D255" s="20">
        <v>20.3931</v>
      </c>
      <c r="E255" s="20">
        <v>0.2712</v>
      </c>
      <c r="F255" s="20">
        <v>2.0999999999999999E-3</v>
      </c>
      <c r="G255" s="20">
        <v>6.4000000000000003E-3</v>
      </c>
      <c r="H255" s="23">
        <v>0.75</v>
      </c>
    </row>
    <row r="256" spans="1:8" x14ac:dyDescent="0.25">
      <c r="A256" s="24">
        <v>198.74416666477919</v>
      </c>
      <c r="B256" s="20">
        <v>78.390799999999999</v>
      </c>
      <c r="C256" s="20">
        <v>0.93469999999999998</v>
      </c>
      <c r="D256" s="20">
        <v>20.395399999999999</v>
      </c>
      <c r="E256" s="20">
        <v>0.27100000000000002</v>
      </c>
      <c r="F256" s="20">
        <v>1.8E-3</v>
      </c>
      <c r="G256" s="20">
        <v>6.1999999999999998E-3</v>
      </c>
      <c r="H256" s="23">
        <v>0.75</v>
      </c>
    </row>
    <row r="257" spans="1:8" x14ac:dyDescent="0.25">
      <c r="A257" s="24">
        <v>199.49733333662149</v>
      </c>
      <c r="B257" s="20">
        <v>78.392200000000003</v>
      </c>
      <c r="C257" s="20">
        <v>0.93540000000000001</v>
      </c>
      <c r="D257" s="20">
        <v>20.3947</v>
      </c>
      <c r="E257" s="20">
        <v>0.2697</v>
      </c>
      <c r="F257" s="20">
        <v>1.6000000000000001E-3</v>
      </c>
      <c r="G257" s="20">
        <v>6.4000000000000003E-3</v>
      </c>
      <c r="H257" s="23">
        <v>0.75316667184233665</v>
      </c>
    </row>
    <row r="258" spans="1:8" x14ac:dyDescent="0.25">
      <c r="A258" s="24">
        <v>200.35666666924951</v>
      </c>
      <c r="B258" s="20">
        <v>78.395799999999994</v>
      </c>
      <c r="C258" s="20">
        <v>0.93559999999999999</v>
      </c>
      <c r="D258" s="20">
        <v>20.398700000000002</v>
      </c>
      <c r="E258" s="20">
        <v>0.26200000000000001</v>
      </c>
      <c r="F258" s="20">
        <v>1.6999999999999999E-3</v>
      </c>
      <c r="G258" s="20">
        <v>6.1999999999999998E-3</v>
      </c>
      <c r="H258" s="23">
        <v>0.8593333326280117</v>
      </c>
    </row>
    <row r="259" spans="1:8" x14ac:dyDescent="0.25">
      <c r="A259" s="24">
        <v>201.11083333194259</v>
      </c>
      <c r="B259" s="20">
        <v>78.397800000000004</v>
      </c>
      <c r="C259" s="20">
        <v>0.93530000000000002</v>
      </c>
      <c r="D259" s="20">
        <v>20.400099999999998</v>
      </c>
      <c r="E259" s="20">
        <v>0.25950000000000001</v>
      </c>
      <c r="F259" s="20">
        <v>1E-3</v>
      </c>
      <c r="G259" s="20">
        <v>6.1999999999999998E-3</v>
      </c>
      <c r="H259" s="23">
        <v>0.75416666269302368</v>
      </c>
    </row>
    <row r="260" spans="1:8" x14ac:dyDescent="0.25">
      <c r="A260" s="24">
        <v>201.86516667157409</v>
      </c>
      <c r="B260" s="20">
        <v>78.384699999999995</v>
      </c>
      <c r="C260" s="20">
        <v>0.9355</v>
      </c>
      <c r="D260" s="20">
        <v>20.403700000000001</v>
      </c>
      <c r="E260" s="20">
        <v>0.26800000000000002</v>
      </c>
      <c r="F260" s="20">
        <v>1.4E-3</v>
      </c>
      <c r="G260" s="20">
        <v>6.7000000000000002E-3</v>
      </c>
      <c r="H260" s="23">
        <v>0.75433333963155746</v>
      </c>
    </row>
    <row r="261" spans="1:8" x14ac:dyDescent="0.25">
      <c r="A261" s="24">
        <v>202.61583333835009</v>
      </c>
      <c r="B261" s="20">
        <v>78.382800000000003</v>
      </c>
      <c r="C261" s="20">
        <v>0.93489999999999995</v>
      </c>
      <c r="D261" s="20">
        <v>20.4041</v>
      </c>
      <c r="E261" s="20">
        <v>0.27100000000000002</v>
      </c>
      <c r="F261" s="20">
        <v>1E-3</v>
      </c>
      <c r="G261" s="20">
        <v>6.1999999999999998E-3</v>
      </c>
      <c r="H261" s="23">
        <v>0.75066666677594185</v>
      </c>
    </row>
    <row r="262" spans="1:8" x14ac:dyDescent="0.25">
      <c r="A262" s="15">
        <v>203.36983333528039</v>
      </c>
      <c r="B262" s="20">
        <v>78.369100000000003</v>
      </c>
      <c r="C262" s="20">
        <v>0.93530000000000002</v>
      </c>
      <c r="D262" s="20">
        <v>20.406099999999999</v>
      </c>
      <c r="E262" s="20">
        <v>0.28210000000000002</v>
      </c>
      <c r="F262" s="20">
        <v>1.5E-3</v>
      </c>
      <c r="G262" s="20">
        <v>5.8999999999999999E-3</v>
      </c>
      <c r="H262" s="23">
        <v>0.75399999693036079</v>
      </c>
    </row>
    <row r="263" spans="1:8" x14ac:dyDescent="0.25">
      <c r="A263" s="15">
        <v>204.23149999976161</v>
      </c>
      <c r="B263" s="20">
        <v>78.383499999999998</v>
      </c>
      <c r="C263" s="20">
        <v>0.93520000000000003</v>
      </c>
      <c r="D263" s="20">
        <v>20.410599999999999</v>
      </c>
      <c r="E263" s="20">
        <v>0.26340000000000002</v>
      </c>
      <c r="F263" s="20">
        <v>1.1999999999999999E-3</v>
      </c>
      <c r="G263" s="20">
        <v>6.1000000000000004E-3</v>
      </c>
      <c r="H263" s="23">
        <v>0.86166666448116302</v>
      </c>
    </row>
    <row r="264" spans="1:8" x14ac:dyDescent="0.25">
      <c r="A264" s="15">
        <v>204.98416666686529</v>
      </c>
      <c r="B264" s="20">
        <v>78.373400000000004</v>
      </c>
      <c r="C264" s="20">
        <v>0.93520000000000003</v>
      </c>
      <c r="D264" s="20">
        <v>20.4145</v>
      </c>
      <c r="E264" s="20">
        <v>0.26989999999999997</v>
      </c>
      <c r="F264" s="20">
        <v>1.1000000000000001E-3</v>
      </c>
      <c r="G264" s="20">
        <v>5.8999999999999999E-3</v>
      </c>
      <c r="H264" s="23">
        <v>0.7526666671037674</v>
      </c>
    </row>
    <row r="265" spans="1:8" x14ac:dyDescent="0.25">
      <c r="A265" s="15">
        <v>205.7353333346546</v>
      </c>
      <c r="B265" s="20">
        <v>78.364699999999999</v>
      </c>
      <c r="C265" s="20">
        <v>0.93500000000000005</v>
      </c>
      <c r="D265" s="20">
        <v>20.420000000000002</v>
      </c>
      <c r="E265" s="20">
        <v>0.27210000000000001</v>
      </c>
      <c r="F265" s="20">
        <v>2.0999999999999999E-3</v>
      </c>
      <c r="G265" s="20">
        <v>6.1999999999999998E-3</v>
      </c>
      <c r="H265" s="23">
        <v>0.75116666778922081</v>
      </c>
    </row>
    <row r="266" spans="1:8" x14ac:dyDescent="0.25">
      <c r="A266" s="15">
        <v>206.4873333349824</v>
      </c>
      <c r="B266" s="20">
        <v>78.3673</v>
      </c>
      <c r="C266" s="20">
        <v>0.93510000000000004</v>
      </c>
      <c r="D266" s="20">
        <v>20.4114</v>
      </c>
      <c r="E266" s="20">
        <v>0.27850000000000003</v>
      </c>
      <c r="F266" s="20">
        <v>1.6000000000000001E-3</v>
      </c>
      <c r="G266" s="20">
        <v>6.1000000000000004E-3</v>
      </c>
      <c r="H266" s="23">
        <v>0.75200000032782555</v>
      </c>
    </row>
    <row r="267" spans="1:8" x14ac:dyDescent="0.25">
      <c r="A267" s="15">
        <v>207.34716666862369</v>
      </c>
      <c r="B267" s="20">
        <v>78.386399999999995</v>
      </c>
      <c r="C267" s="20">
        <v>0.93569999999999998</v>
      </c>
      <c r="D267" s="20">
        <v>20.426300000000001</v>
      </c>
      <c r="E267" s="20">
        <v>0.24399999999999999</v>
      </c>
      <c r="F267" s="20">
        <v>1.4E-3</v>
      </c>
      <c r="G267" s="20">
        <v>6.1999999999999998E-3</v>
      </c>
      <c r="H267" s="23">
        <v>0.85983333364129066</v>
      </c>
    </row>
    <row r="268" spans="1:8" x14ac:dyDescent="0.25">
      <c r="A268" s="15">
        <v>208.09833333641291</v>
      </c>
      <c r="B268" s="20">
        <v>78.390100000000004</v>
      </c>
      <c r="C268" s="20">
        <v>0.93559999999999999</v>
      </c>
      <c r="D268" s="20">
        <v>20.428999999999998</v>
      </c>
      <c r="E268" s="20">
        <v>0.2374</v>
      </c>
      <c r="F268" s="20">
        <v>1.1999999999999999E-3</v>
      </c>
      <c r="G268" s="20">
        <v>6.7999999999999996E-3</v>
      </c>
      <c r="H268" s="23">
        <v>0.75116666778922081</v>
      </c>
    </row>
    <row r="269" spans="1:8" x14ac:dyDescent="0.25">
      <c r="A269" s="15">
        <v>208.85300000011921</v>
      </c>
      <c r="B269" s="20">
        <v>78.383600000000001</v>
      </c>
      <c r="C269" s="20">
        <v>0.93469999999999998</v>
      </c>
      <c r="D269" s="20">
        <v>20.431699999999999</v>
      </c>
      <c r="E269" s="20">
        <v>0.24260000000000001</v>
      </c>
      <c r="F269" s="20">
        <v>1.5E-3</v>
      </c>
      <c r="G269" s="20">
        <v>6.0000000000000001E-3</v>
      </c>
      <c r="H269" s="23">
        <v>0.75466666370630264</v>
      </c>
    </row>
    <row r="270" spans="1:8" x14ac:dyDescent="0.25">
      <c r="A270" s="15">
        <v>209.60616666451099</v>
      </c>
      <c r="B270" s="20">
        <v>78.377899999999997</v>
      </c>
      <c r="C270" s="20">
        <v>0.93430000000000002</v>
      </c>
      <c r="D270" s="20">
        <v>20.4359</v>
      </c>
      <c r="E270" s="20">
        <v>0.2447</v>
      </c>
      <c r="F270" s="20">
        <v>1.1000000000000001E-3</v>
      </c>
      <c r="G270" s="20">
        <v>6.1999999999999998E-3</v>
      </c>
      <c r="H270" s="23">
        <v>0.75316666439175606</v>
      </c>
    </row>
    <row r="271" spans="1:8" x14ac:dyDescent="0.25">
      <c r="A271" s="15">
        <v>210.36050000414249</v>
      </c>
      <c r="B271" s="20">
        <v>78.366299999999995</v>
      </c>
      <c r="C271" s="20">
        <v>0.93540000000000001</v>
      </c>
      <c r="D271" s="20">
        <v>20.4407</v>
      </c>
      <c r="E271" s="20">
        <v>0.25</v>
      </c>
      <c r="F271" s="20">
        <v>1.4E-3</v>
      </c>
      <c r="G271" s="20">
        <v>6.1999999999999998E-3</v>
      </c>
      <c r="H271" s="23">
        <v>0.75433333963155746</v>
      </c>
    </row>
    <row r="272" spans="1:8" x14ac:dyDescent="0.25">
      <c r="A272" s="15">
        <v>211.22300000116229</v>
      </c>
      <c r="B272" s="20">
        <v>78.369</v>
      </c>
      <c r="C272" s="20">
        <v>0.93559999999999999</v>
      </c>
      <c r="D272" s="20">
        <v>20.451599999999999</v>
      </c>
      <c r="E272" s="20">
        <v>0.23599999999999999</v>
      </c>
      <c r="F272" s="20">
        <v>1.5E-3</v>
      </c>
      <c r="G272" s="20">
        <v>6.3E-3</v>
      </c>
      <c r="H272" s="23">
        <v>0.86249999701976776</v>
      </c>
    </row>
    <row r="273" spans="1:8" x14ac:dyDescent="0.25">
      <c r="A273" s="15">
        <v>211.97883333265781</v>
      </c>
      <c r="B273" s="20">
        <v>78.374200000000002</v>
      </c>
      <c r="C273" s="20">
        <v>0.9355</v>
      </c>
      <c r="D273" s="20">
        <v>20.4497</v>
      </c>
      <c r="E273" s="20">
        <v>0.23269999999999999</v>
      </c>
      <c r="F273" s="20">
        <v>1.6000000000000001E-3</v>
      </c>
      <c r="G273" s="20">
        <v>6.3E-3</v>
      </c>
      <c r="H273" s="23">
        <v>0.75583333149552345</v>
      </c>
    </row>
    <row r="274" spans="1:8" x14ac:dyDescent="0.25">
      <c r="A274" s="15">
        <v>212.73166666924951</v>
      </c>
      <c r="B274" s="20">
        <v>78.365300000000005</v>
      </c>
      <c r="C274" s="20">
        <v>0.93500000000000005</v>
      </c>
      <c r="D274" s="20">
        <v>20.454499999999999</v>
      </c>
      <c r="E274" s="20">
        <v>0.2364</v>
      </c>
      <c r="F274" s="20">
        <v>1.8E-3</v>
      </c>
      <c r="G274" s="20">
        <v>6.8999999999999999E-3</v>
      </c>
      <c r="H274" s="23">
        <v>0.75283333659172058</v>
      </c>
    </row>
    <row r="275" spans="1:8" x14ac:dyDescent="0.25">
      <c r="A275" s="15">
        <v>213.4843333363533</v>
      </c>
      <c r="B275" s="20">
        <v>78.363500000000002</v>
      </c>
      <c r="C275" s="20">
        <v>0.93500000000000005</v>
      </c>
      <c r="D275" s="20">
        <v>20.453399999999998</v>
      </c>
      <c r="E275" s="20">
        <v>0.24049999999999999</v>
      </c>
      <c r="F275" s="20">
        <v>1.6000000000000001E-3</v>
      </c>
      <c r="G275" s="20">
        <v>6.0000000000000001E-3</v>
      </c>
      <c r="H275" s="23">
        <v>0.7526666671037674</v>
      </c>
    </row>
    <row r="276" spans="1:8" x14ac:dyDescent="0.25">
      <c r="A276" s="15">
        <v>214.34216666594151</v>
      </c>
      <c r="B276" s="20">
        <v>78.366399999999999</v>
      </c>
      <c r="C276" s="20">
        <v>0.93469999999999998</v>
      </c>
      <c r="D276" s="20">
        <v>20.457000000000001</v>
      </c>
      <c r="E276" s="20">
        <v>0.2344</v>
      </c>
      <c r="F276" s="20">
        <v>1.1999999999999999E-3</v>
      </c>
      <c r="G276" s="20">
        <v>6.1999999999999998E-3</v>
      </c>
      <c r="H276" s="23">
        <v>0.85783332958817482</v>
      </c>
    </row>
    <row r="277" spans="1:8" x14ac:dyDescent="0.25">
      <c r="A277" s="15">
        <v>215.0923333354294</v>
      </c>
      <c r="B277" s="20">
        <v>78.361000000000004</v>
      </c>
      <c r="C277" s="20">
        <v>0.93500000000000005</v>
      </c>
      <c r="D277" s="20">
        <v>20.462199999999999</v>
      </c>
      <c r="E277" s="20">
        <v>0.23400000000000001</v>
      </c>
      <c r="F277" s="20">
        <v>1.5E-3</v>
      </c>
      <c r="G277" s="20">
        <v>6.1999999999999998E-3</v>
      </c>
      <c r="H277" s="23">
        <v>0.75016666948795319</v>
      </c>
    </row>
    <row r="278" spans="1:8" x14ac:dyDescent="0.25">
      <c r="A278" s="15">
        <v>215.8433333337307</v>
      </c>
      <c r="B278" s="20">
        <v>78.350300000000004</v>
      </c>
      <c r="C278" s="20">
        <v>0.93500000000000005</v>
      </c>
      <c r="D278" s="20">
        <v>20.463999999999999</v>
      </c>
      <c r="E278" s="20">
        <v>0.24349999999999999</v>
      </c>
      <c r="F278" s="20">
        <v>1E-3</v>
      </c>
      <c r="G278" s="20">
        <v>6.3E-3</v>
      </c>
      <c r="H278" s="23">
        <v>0.75099999830126762</v>
      </c>
    </row>
    <row r="279" spans="1:8" x14ac:dyDescent="0.25">
      <c r="A279" s="15">
        <v>216.5933333337307</v>
      </c>
      <c r="B279" s="20">
        <v>78.348100000000002</v>
      </c>
      <c r="C279" s="20">
        <v>0.93479999999999996</v>
      </c>
      <c r="D279" s="20">
        <v>20.465</v>
      </c>
      <c r="E279" s="20">
        <v>0.2442</v>
      </c>
      <c r="F279" s="20">
        <v>1.6999999999999999E-3</v>
      </c>
      <c r="G279" s="20">
        <v>6.1999999999999998E-3</v>
      </c>
      <c r="H279" s="23">
        <v>0.75</v>
      </c>
    </row>
    <row r="280" spans="1:8" x14ac:dyDescent="0.25">
      <c r="A280" s="15">
        <v>217.34516667202121</v>
      </c>
      <c r="B280" s="20">
        <v>78.338300000000004</v>
      </c>
      <c r="C280" s="20">
        <v>0.93530000000000002</v>
      </c>
      <c r="D280" s="20">
        <v>20.475000000000001</v>
      </c>
      <c r="E280" s="20">
        <v>0.2432</v>
      </c>
      <c r="F280" s="20">
        <v>1.6000000000000001E-3</v>
      </c>
      <c r="G280" s="20">
        <v>6.7000000000000002E-3</v>
      </c>
      <c r="H280" s="23">
        <v>0.75183333829045296</v>
      </c>
    </row>
    <row r="281" spans="1:8" x14ac:dyDescent="0.25">
      <c r="A281" s="15">
        <v>218.20500000193721</v>
      </c>
      <c r="B281" s="20">
        <v>78.357200000000006</v>
      </c>
      <c r="C281" s="20">
        <v>0.93530000000000002</v>
      </c>
      <c r="D281" s="20">
        <v>20.485199999999999</v>
      </c>
      <c r="E281" s="20">
        <v>0.2142</v>
      </c>
      <c r="F281" s="20">
        <v>2.0999999999999999E-3</v>
      </c>
      <c r="G281" s="20">
        <v>6.0000000000000001E-3</v>
      </c>
      <c r="H281" s="23">
        <v>0.85983332991600037</v>
      </c>
    </row>
    <row r="282" spans="1:8" x14ac:dyDescent="0.25">
      <c r="A282" s="15">
        <v>218.95866666734219</v>
      </c>
      <c r="B282" s="20">
        <v>78.354100000000003</v>
      </c>
      <c r="C282" s="20">
        <v>0.93469999999999998</v>
      </c>
      <c r="D282" s="20">
        <v>20.486799999999999</v>
      </c>
      <c r="E282" s="20">
        <v>0.21829999999999999</v>
      </c>
      <c r="F282" s="20">
        <v>1E-4</v>
      </c>
      <c r="G282" s="20">
        <v>6.0000000000000001E-3</v>
      </c>
      <c r="H282" s="23">
        <v>0.75366666540503502</v>
      </c>
    </row>
    <row r="283" spans="1:8" x14ac:dyDescent="0.25">
      <c r="A283" s="15">
        <v>219.71316666901109</v>
      </c>
      <c r="B283" s="20">
        <v>78.346699999999998</v>
      </c>
      <c r="C283" s="20">
        <v>0.93489999999999995</v>
      </c>
      <c r="D283" s="20">
        <v>20.492899999999999</v>
      </c>
      <c r="E283" s="20">
        <v>0.21790000000000001</v>
      </c>
      <c r="F283" s="20">
        <v>1.6000000000000001E-3</v>
      </c>
      <c r="G283" s="20">
        <v>6.0000000000000001E-3</v>
      </c>
      <c r="H283" s="23">
        <v>0.75450000166893005</v>
      </c>
    </row>
    <row r="284" spans="1:8" x14ac:dyDescent="0.25">
      <c r="A284" s="15">
        <v>220.4625000022352</v>
      </c>
      <c r="B284" s="20">
        <v>78.350899999999996</v>
      </c>
      <c r="C284" s="20">
        <v>0.93440000000000001</v>
      </c>
      <c r="D284" s="20">
        <v>20.4877</v>
      </c>
      <c r="E284" s="20">
        <v>0.21920000000000001</v>
      </c>
      <c r="F284" s="20">
        <v>1.4E-3</v>
      </c>
      <c r="G284" s="20">
        <v>6.4000000000000003E-3</v>
      </c>
      <c r="H284" s="23">
        <v>0.74933333322405815</v>
      </c>
    </row>
    <row r="285" spans="1:8" x14ac:dyDescent="0.25">
      <c r="A285" s="15">
        <v>221.3233333341777</v>
      </c>
      <c r="B285" s="20">
        <v>78.349699999999999</v>
      </c>
      <c r="C285" s="20">
        <v>0.93520000000000003</v>
      </c>
      <c r="D285" s="20">
        <v>20.490500000000001</v>
      </c>
      <c r="E285" s="20">
        <v>0.2155</v>
      </c>
      <c r="F285" s="20">
        <v>2.3E-3</v>
      </c>
      <c r="G285" s="20">
        <v>6.8999999999999999E-3</v>
      </c>
      <c r="H285" s="23">
        <v>0.86083333194255829</v>
      </c>
    </row>
    <row r="286" spans="1:8" x14ac:dyDescent="0.25">
      <c r="A286" s="15">
        <v>222.07650000229481</v>
      </c>
      <c r="B286" s="20">
        <v>78.338499999999996</v>
      </c>
      <c r="C286" s="20">
        <v>0.93420000000000003</v>
      </c>
      <c r="D286" s="20">
        <v>20.499199999999998</v>
      </c>
      <c r="E286" s="20">
        <v>0.2215</v>
      </c>
      <c r="F286" s="20">
        <v>8.0000000000000004E-4</v>
      </c>
      <c r="G286" s="20">
        <v>5.7999999999999996E-3</v>
      </c>
      <c r="H286" s="23">
        <v>0.75316666811704636</v>
      </c>
    </row>
    <row r="287" spans="1:8" x14ac:dyDescent="0.25">
      <c r="A287" s="15">
        <v>222.83033333346251</v>
      </c>
      <c r="B287" s="20">
        <v>78.322699999999998</v>
      </c>
      <c r="C287" s="20">
        <v>0.93500000000000005</v>
      </c>
      <c r="D287" s="20">
        <v>20.503699999999998</v>
      </c>
      <c r="E287" s="20">
        <v>0.2306</v>
      </c>
      <c r="F287" s="20">
        <v>1.2999999999999999E-3</v>
      </c>
      <c r="G287" s="20">
        <v>6.7000000000000002E-3</v>
      </c>
      <c r="H287" s="23">
        <v>0.75383333116769791</v>
      </c>
    </row>
    <row r="288" spans="1:8" x14ac:dyDescent="0.25">
      <c r="A288" s="15">
        <v>223.58366666734219</v>
      </c>
      <c r="B288" s="20">
        <v>78.3155</v>
      </c>
      <c r="C288" s="20">
        <v>0.93459999999999999</v>
      </c>
      <c r="D288" s="20">
        <v>20.508800000000001</v>
      </c>
      <c r="E288" s="20">
        <v>0.23330000000000001</v>
      </c>
      <c r="F288" s="20">
        <v>1.6999999999999999E-3</v>
      </c>
      <c r="G288" s="20">
        <v>6.1000000000000004E-3</v>
      </c>
      <c r="H288" s="23">
        <v>0.75333333387970924</v>
      </c>
    </row>
    <row r="289" spans="1:8" x14ac:dyDescent="0.25">
      <c r="A289" s="15">
        <v>224.3350000008941</v>
      </c>
      <c r="B289" s="20">
        <v>78.314499999999995</v>
      </c>
      <c r="C289" s="20">
        <v>0.9345</v>
      </c>
      <c r="D289" s="20">
        <v>20.506900000000002</v>
      </c>
      <c r="E289" s="20">
        <v>0.23630000000000001</v>
      </c>
      <c r="F289" s="20">
        <v>1.5E-3</v>
      </c>
      <c r="G289" s="20">
        <v>6.3E-3</v>
      </c>
      <c r="H289" s="23">
        <v>0.7513333335518837</v>
      </c>
    </row>
    <row r="290" spans="1:8" x14ac:dyDescent="0.25">
      <c r="A290" s="15">
        <v>225.1946666687727</v>
      </c>
      <c r="B290" s="20">
        <v>78.335999999999999</v>
      </c>
      <c r="C290" s="20">
        <v>0.93489999999999995</v>
      </c>
      <c r="D290" s="20">
        <v>20.523099999999999</v>
      </c>
      <c r="E290" s="20">
        <v>0.19689999999999999</v>
      </c>
      <c r="F290" s="20">
        <v>2.7000000000000001E-3</v>
      </c>
      <c r="G290" s="20">
        <v>6.4000000000000003E-3</v>
      </c>
      <c r="H290" s="23">
        <v>0.85966666787862778</v>
      </c>
    </row>
    <row r="291" spans="1:8" x14ac:dyDescent="0.25">
      <c r="A291" s="15">
        <v>225.94850000366571</v>
      </c>
      <c r="B291" s="20">
        <v>78.329599999999999</v>
      </c>
      <c r="C291" s="20">
        <v>0.93530000000000002</v>
      </c>
      <c r="D291" s="20">
        <v>20.527000000000001</v>
      </c>
      <c r="E291" s="20">
        <v>0.19980000000000001</v>
      </c>
      <c r="F291" s="20">
        <v>1.8E-3</v>
      </c>
      <c r="G291" s="20">
        <v>6.4999999999999997E-3</v>
      </c>
      <c r="H291" s="23">
        <v>0.7538333348929882</v>
      </c>
    </row>
    <row r="292" spans="1:8" x14ac:dyDescent="0.25">
      <c r="A292" s="15">
        <v>226.70166666805741</v>
      </c>
      <c r="B292" s="20">
        <v>78.3279</v>
      </c>
      <c r="C292" s="20">
        <v>0.93440000000000001</v>
      </c>
      <c r="D292" s="20">
        <v>20.5275</v>
      </c>
      <c r="E292" s="20">
        <v>0.20200000000000001</v>
      </c>
      <c r="F292" s="20">
        <v>1.6999999999999999E-3</v>
      </c>
      <c r="G292" s="20">
        <v>6.4999999999999997E-3</v>
      </c>
      <c r="H292" s="23">
        <v>0.75316666439175606</v>
      </c>
    </row>
    <row r="293" spans="1:8" x14ac:dyDescent="0.25">
      <c r="A293" s="15">
        <v>227.45549999922511</v>
      </c>
      <c r="B293" s="20">
        <v>78.318299999999994</v>
      </c>
      <c r="C293" s="20">
        <v>0.9345</v>
      </c>
      <c r="D293" s="20">
        <v>20.531600000000001</v>
      </c>
      <c r="E293" s="20">
        <v>0.20760000000000001</v>
      </c>
      <c r="F293" s="20">
        <v>1.6000000000000001E-3</v>
      </c>
      <c r="G293" s="20">
        <v>6.4000000000000003E-3</v>
      </c>
      <c r="H293" s="23">
        <v>0.75383333116769791</v>
      </c>
    </row>
    <row r="294" spans="1:8" x14ac:dyDescent="0.25">
      <c r="A294" s="15">
        <v>228.32016666606069</v>
      </c>
      <c r="B294" s="20">
        <v>78.323700000000002</v>
      </c>
      <c r="C294" s="20">
        <v>0.93430000000000002</v>
      </c>
      <c r="D294" s="20">
        <v>20.5396</v>
      </c>
      <c r="E294" s="20">
        <v>0.19489999999999999</v>
      </c>
      <c r="F294" s="20">
        <v>8.9999999999999998E-4</v>
      </c>
      <c r="G294" s="20">
        <v>6.7000000000000002E-3</v>
      </c>
      <c r="H294" s="23">
        <v>0.86466666683554649</v>
      </c>
    </row>
    <row r="295" spans="1:8" x14ac:dyDescent="0.25">
      <c r="A295" s="15">
        <v>229.07383333519101</v>
      </c>
      <c r="B295" s="20">
        <v>78.323599999999999</v>
      </c>
      <c r="C295" s="20">
        <v>0.9345</v>
      </c>
      <c r="D295" s="20">
        <v>20.5395</v>
      </c>
      <c r="E295" s="20">
        <v>0.19439999999999999</v>
      </c>
      <c r="F295" s="20">
        <v>1.4E-3</v>
      </c>
      <c r="G295" s="20">
        <v>6.4999999999999997E-3</v>
      </c>
      <c r="H295" s="23">
        <v>0.75366666913032532</v>
      </c>
    </row>
    <row r="296" spans="1:8" x14ac:dyDescent="0.25">
      <c r="A296" s="15">
        <v>229.8288333341479</v>
      </c>
      <c r="B296" s="20">
        <v>78.315600000000003</v>
      </c>
      <c r="C296" s="20">
        <v>0.9345</v>
      </c>
      <c r="D296" s="20">
        <v>20.5427</v>
      </c>
      <c r="E296" s="20">
        <v>0.19839999999999999</v>
      </c>
      <c r="F296" s="20">
        <v>2E-3</v>
      </c>
      <c r="G296" s="20">
        <v>6.7999999999999996E-3</v>
      </c>
      <c r="H296" s="23">
        <v>0.75499999895691872</v>
      </c>
    </row>
    <row r="297" spans="1:8" x14ac:dyDescent="0.25">
      <c r="A297" s="15">
        <v>230.58166666701439</v>
      </c>
      <c r="B297" s="20">
        <v>78.314599999999999</v>
      </c>
      <c r="C297" s="20">
        <v>0.93400000000000005</v>
      </c>
      <c r="D297" s="20">
        <v>20.544899999999998</v>
      </c>
      <c r="E297" s="20">
        <v>0.1996</v>
      </c>
      <c r="F297" s="20">
        <v>5.9999999999999995E-4</v>
      </c>
      <c r="G297" s="20">
        <v>6.4000000000000003E-3</v>
      </c>
      <c r="H297" s="23">
        <v>0.75283333286643028</v>
      </c>
    </row>
    <row r="298" spans="1:8" x14ac:dyDescent="0.25">
      <c r="A298" s="15">
        <v>231.33283333107829</v>
      </c>
      <c r="B298" s="20">
        <v>78.295000000000002</v>
      </c>
      <c r="C298" s="20">
        <v>0.9345</v>
      </c>
      <c r="D298" s="20">
        <v>20.549499999999998</v>
      </c>
      <c r="E298" s="20">
        <v>0.2132</v>
      </c>
      <c r="F298" s="20">
        <v>1.1000000000000001E-3</v>
      </c>
      <c r="G298" s="20">
        <v>6.7000000000000002E-3</v>
      </c>
      <c r="H298" s="23">
        <v>0.75116666406393051</v>
      </c>
    </row>
    <row r="299" spans="1:8" x14ac:dyDescent="0.25">
      <c r="A299" s="15">
        <v>232.1929999999702</v>
      </c>
      <c r="B299" s="20">
        <v>78.314800000000005</v>
      </c>
      <c r="C299" s="20">
        <v>0.93440000000000001</v>
      </c>
      <c r="D299" s="20">
        <v>20.560700000000001</v>
      </c>
      <c r="E299" s="20">
        <v>0.18240000000000001</v>
      </c>
      <c r="F299" s="20">
        <v>1.5E-3</v>
      </c>
      <c r="G299" s="20">
        <v>6.1000000000000004E-3</v>
      </c>
      <c r="H299" s="23">
        <v>0.86016666889190674</v>
      </c>
    </row>
    <row r="300" spans="1:8" x14ac:dyDescent="0.25">
      <c r="A300" s="15">
        <v>232.945166669786</v>
      </c>
      <c r="B300" s="20">
        <v>78.300600000000003</v>
      </c>
      <c r="C300" s="20">
        <v>0.93540000000000001</v>
      </c>
      <c r="D300" s="20">
        <v>20.567799999999998</v>
      </c>
      <c r="E300" s="20">
        <v>0.18759999999999999</v>
      </c>
      <c r="F300" s="20">
        <v>2.5000000000000001E-3</v>
      </c>
      <c r="G300" s="20">
        <v>6.1999999999999998E-3</v>
      </c>
      <c r="H300" s="23">
        <v>0.75216666981577873</v>
      </c>
    </row>
    <row r="301" spans="1:8" x14ac:dyDescent="0.25">
      <c r="A301" s="15">
        <v>233.69816666468981</v>
      </c>
      <c r="B301" s="20">
        <v>78.300899999999999</v>
      </c>
      <c r="C301" s="20">
        <v>0.93440000000000001</v>
      </c>
      <c r="D301" s="20">
        <v>20.573499999999999</v>
      </c>
      <c r="E301" s="20">
        <v>0.18310000000000001</v>
      </c>
      <c r="F301" s="20">
        <v>1.4E-3</v>
      </c>
      <c r="G301" s="20">
        <v>6.6E-3</v>
      </c>
      <c r="H301" s="23">
        <v>0.75299999490380287</v>
      </c>
    </row>
    <row r="302" spans="1:8" x14ac:dyDescent="0.25">
      <c r="A302" s="15">
        <v>234.44749999791381</v>
      </c>
      <c r="B302" s="20">
        <v>78.298299999999998</v>
      </c>
      <c r="C302" s="20">
        <v>0.93430000000000002</v>
      </c>
      <c r="D302" s="20">
        <v>20.575700000000001</v>
      </c>
      <c r="E302" s="20">
        <v>0.1842</v>
      </c>
      <c r="F302" s="20">
        <v>1.2999999999999999E-3</v>
      </c>
      <c r="G302" s="20">
        <v>6.1999999999999998E-3</v>
      </c>
      <c r="H302" s="23">
        <v>0.74933333322405815</v>
      </c>
    </row>
    <row r="303" spans="1:8" x14ac:dyDescent="0.25">
      <c r="A303" s="15">
        <v>235.30800000205639</v>
      </c>
      <c r="B303" s="20">
        <v>78.300200000000004</v>
      </c>
      <c r="C303" s="20">
        <v>0.93369999999999997</v>
      </c>
      <c r="D303" s="20">
        <v>20.575299999999999</v>
      </c>
      <c r="E303" s="20">
        <v>0.1827</v>
      </c>
      <c r="F303" s="20">
        <v>2E-3</v>
      </c>
      <c r="G303" s="20">
        <v>6.1000000000000004E-3</v>
      </c>
      <c r="H303" s="23">
        <v>0.86050000414252281</v>
      </c>
    </row>
    <row r="304" spans="1:8" x14ac:dyDescent="0.25">
      <c r="A304" s="15">
        <v>236.06233333423731</v>
      </c>
      <c r="B304" s="20">
        <v>78.287499999999994</v>
      </c>
      <c r="C304" s="20">
        <v>0.93389999999999995</v>
      </c>
      <c r="D304" s="20">
        <v>20.5824</v>
      </c>
      <c r="E304" s="20">
        <v>0.18779999999999999</v>
      </c>
      <c r="F304" s="20">
        <v>1.8E-3</v>
      </c>
      <c r="G304" s="20">
        <v>6.7000000000000002E-3</v>
      </c>
      <c r="H304" s="23">
        <v>0.75433333218097687</v>
      </c>
    </row>
    <row r="305" spans="1:8" x14ac:dyDescent="0.25">
      <c r="A305" s="15">
        <v>236.81433333456519</v>
      </c>
      <c r="B305" s="20">
        <v>78.282600000000002</v>
      </c>
      <c r="C305" s="20">
        <v>0.93400000000000005</v>
      </c>
      <c r="D305" s="20">
        <v>20.582699999999999</v>
      </c>
      <c r="E305" s="20">
        <v>0.19270000000000001</v>
      </c>
      <c r="F305" s="20">
        <v>1.6999999999999999E-3</v>
      </c>
      <c r="G305" s="20">
        <v>6.1999999999999998E-3</v>
      </c>
      <c r="H305" s="23">
        <v>0.75200000032782555</v>
      </c>
    </row>
    <row r="306" spans="1:8" x14ac:dyDescent="0.25">
      <c r="A306" s="15">
        <v>237.56983333826071</v>
      </c>
      <c r="B306" s="20">
        <v>78.275400000000005</v>
      </c>
      <c r="C306" s="20">
        <v>0.93410000000000004</v>
      </c>
      <c r="D306" s="20">
        <v>20.588899999999999</v>
      </c>
      <c r="E306" s="20">
        <v>0.1946</v>
      </c>
      <c r="F306" s="20">
        <v>1.1999999999999999E-3</v>
      </c>
      <c r="G306" s="20">
        <v>5.7999999999999996E-3</v>
      </c>
      <c r="H306" s="23">
        <v>0.75550000369548798</v>
      </c>
    </row>
    <row r="307" spans="1:8" x14ac:dyDescent="0.25">
      <c r="A307" s="15">
        <v>238.3240000009537</v>
      </c>
      <c r="B307" s="20">
        <v>78.2714</v>
      </c>
      <c r="C307" s="20">
        <v>0.93400000000000005</v>
      </c>
      <c r="D307" s="20">
        <v>20.592199999999998</v>
      </c>
      <c r="E307" s="20">
        <v>0.19450000000000001</v>
      </c>
      <c r="F307" s="20">
        <v>8.9999999999999998E-4</v>
      </c>
      <c r="G307" s="20">
        <v>6.8999999999999999E-3</v>
      </c>
      <c r="H307" s="23">
        <v>0.75416666269302368</v>
      </c>
    </row>
    <row r="308" spans="1:8" x14ac:dyDescent="0.25">
      <c r="A308" s="15">
        <v>239.1854999996722</v>
      </c>
      <c r="B308" s="20">
        <v>78.284599999999998</v>
      </c>
      <c r="C308" s="20">
        <v>0.93440000000000001</v>
      </c>
      <c r="D308" s="20">
        <v>20.594799999999999</v>
      </c>
      <c r="E308" s="20">
        <v>0.17810000000000001</v>
      </c>
      <c r="F308" s="20">
        <v>1.4E-3</v>
      </c>
      <c r="G308" s="20">
        <v>6.7999999999999996E-3</v>
      </c>
      <c r="H308" s="23">
        <v>0.86149999871850014</v>
      </c>
    </row>
    <row r="309" spans="1:8" x14ac:dyDescent="0.25">
      <c r="A309" s="15">
        <v>239.93933333456519</v>
      </c>
      <c r="B309" s="20">
        <v>78.277600000000007</v>
      </c>
      <c r="C309" s="20">
        <v>0.93400000000000005</v>
      </c>
      <c r="D309" s="20">
        <v>20.600300000000001</v>
      </c>
      <c r="E309" s="20">
        <v>0.1799</v>
      </c>
      <c r="F309" s="20">
        <v>1.6999999999999999E-3</v>
      </c>
      <c r="G309" s="20">
        <v>6.4999999999999997E-3</v>
      </c>
      <c r="H309" s="23">
        <v>0.7538333348929882</v>
      </c>
    </row>
    <row r="310" spans="1:8" x14ac:dyDescent="0.25">
      <c r="A310" s="15">
        <v>240.6920000016689</v>
      </c>
      <c r="B310" s="20">
        <v>78.272999999999996</v>
      </c>
      <c r="C310" s="20">
        <v>0.93410000000000004</v>
      </c>
      <c r="D310" s="20">
        <v>20.603100000000001</v>
      </c>
      <c r="E310" s="20">
        <v>0.18229999999999999</v>
      </c>
      <c r="F310" s="20">
        <v>1.2999999999999999E-3</v>
      </c>
      <c r="G310" s="20">
        <v>6.1000000000000004E-3</v>
      </c>
      <c r="H310" s="23">
        <v>0.7526666671037674</v>
      </c>
    </row>
    <row r="311" spans="1:8" x14ac:dyDescent="0.25">
      <c r="A311" s="15">
        <v>241.4420000016689</v>
      </c>
      <c r="B311" s="20">
        <v>78.261600000000001</v>
      </c>
      <c r="C311" s="20">
        <v>0.93430000000000002</v>
      </c>
      <c r="D311" s="20">
        <v>20.606300000000001</v>
      </c>
      <c r="E311" s="20">
        <v>0.19009999999999999</v>
      </c>
      <c r="F311" s="20">
        <v>1.4E-3</v>
      </c>
      <c r="G311" s="20">
        <v>6.3E-3</v>
      </c>
      <c r="H311" s="23">
        <v>0.75</v>
      </c>
    </row>
    <row r="312" spans="1:8" x14ac:dyDescent="0.25">
      <c r="A312" s="15">
        <v>242.30183333531019</v>
      </c>
      <c r="B312" s="20">
        <v>78.281599999999997</v>
      </c>
      <c r="C312" s="20">
        <v>0.93400000000000005</v>
      </c>
      <c r="D312" s="20">
        <v>20.610099999999999</v>
      </c>
      <c r="E312" s="20">
        <v>0.16739999999999999</v>
      </c>
      <c r="F312" s="20">
        <v>1.1000000000000001E-3</v>
      </c>
      <c r="G312" s="20">
        <v>5.7000000000000002E-3</v>
      </c>
      <c r="H312" s="23">
        <v>0.85983333364129066</v>
      </c>
    </row>
    <row r="313" spans="1:8" x14ac:dyDescent="0.25">
      <c r="A313" s="15">
        <v>243.05499999970201</v>
      </c>
      <c r="B313" s="20">
        <v>78.278499999999994</v>
      </c>
      <c r="C313" s="20">
        <v>0.93410000000000004</v>
      </c>
      <c r="D313" s="20">
        <v>20.616599999999998</v>
      </c>
      <c r="E313" s="20">
        <v>0.1628</v>
      </c>
      <c r="F313" s="20">
        <v>1.6000000000000001E-3</v>
      </c>
      <c r="G313" s="20">
        <v>6.4000000000000003E-3</v>
      </c>
      <c r="H313" s="23">
        <v>0.75316666439175606</v>
      </c>
    </row>
    <row r="314" spans="1:8" x14ac:dyDescent="0.25">
      <c r="A314" s="15">
        <v>243.8086666688323</v>
      </c>
      <c r="B314" s="20">
        <v>78.266900000000007</v>
      </c>
      <c r="C314" s="20">
        <v>0.93389999999999995</v>
      </c>
      <c r="D314" s="20">
        <v>20.623899999999999</v>
      </c>
      <c r="E314" s="20">
        <v>0.1678</v>
      </c>
      <c r="F314" s="20">
        <v>1.2999999999999999E-3</v>
      </c>
      <c r="G314" s="20">
        <v>6.1999999999999998E-3</v>
      </c>
      <c r="H314" s="23">
        <v>0.75366666913032532</v>
      </c>
    </row>
    <row r="315" spans="1:8" x14ac:dyDescent="0.25">
      <c r="A315" s="15">
        <v>244.5613333359361</v>
      </c>
      <c r="B315" s="20">
        <v>78.267499999999998</v>
      </c>
      <c r="C315" s="20">
        <v>0.93389999999999995</v>
      </c>
      <c r="D315" s="20">
        <v>20.620999999999999</v>
      </c>
      <c r="E315" s="20">
        <v>0.17030000000000001</v>
      </c>
      <c r="F315" s="20">
        <v>1.2999999999999999E-3</v>
      </c>
      <c r="G315" s="20">
        <v>6.1000000000000004E-3</v>
      </c>
      <c r="H315" s="23">
        <v>0.7526666671037674</v>
      </c>
    </row>
    <row r="316" spans="1:8" x14ac:dyDescent="0.25">
      <c r="A316" s="15">
        <v>245.31450000405309</v>
      </c>
      <c r="B316" s="20">
        <v>78.259900000000002</v>
      </c>
      <c r="C316" s="20">
        <v>0.93410000000000004</v>
      </c>
      <c r="D316" s="20">
        <v>20.623799999999999</v>
      </c>
      <c r="E316" s="20">
        <v>0.17419999999999999</v>
      </c>
      <c r="F316" s="20">
        <v>1.6999999999999999E-3</v>
      </c>
      <c r="G316" s="20">
        <v>6.3E-3</v>
      </c>
      <c r="H316" s="23">
        <v>0.75316666811704636</v>
      </c>
    </row>
    <row r="317" spans="1:8" x14ac:dyDescent="0.25">
      <c r="A317" s="15">
        <v>246.17900000140071</v>
      </c>
      <c r="B317" s="20">
        <v>78.272000000000006</v>
      </c>
      <c r="C317" s="20">
        <v>0.93389999999999995</v>
      </c>
      <c r="D317" s="20">
        <v>20.6252</v>
      </c>
      <c r="E317" s="20">
        <v>0.1605</v>
      </c>
      <c r="F317" s="20">
        <v>1.8E-3</v>
      </c>
      <c r="G317" s="20">
        <v>6.6E-3</v>
      </c>
      <c r="H317" s="23">
        <v>0.86449999734759331</v>
      </c>
    </row>
    <row r="318" spans="1:8" x14ac:dyDescent="0.25">
      <c r="A318" s="15">
        <v>246.9316666685045</v>
      </c>
      <c r="B318" s="20">
        <v>78.265500000000003</v>
      </c>
      <c r="C318" s="20">
        <v>0.93410000000000004</v>
      </c>
      <c r="D318" s="20">
        <v>20.628799999999998</v>
      </c>
      <c r="E318" s="20">
        <v>0.1641</v>
      </c>
      <c r="F318" s="20">
        <v>1.5E-3</v>
      </c>
      <c r="G318" s="20">
        <v>6.0000000000000001E-3</v>
      </c>
      <c r="H318" s="23">
        <v>0.7526666671037674</v>
      </c>
    </row>
    <row r="319" spans="1:8" x14ac:dyDescent="0.25">
      <c r="A319" s="15">
        <v>247.68500000238419</v>
      </c>
      <c r="B319" s="20">
        <v>78.267799999999994</v>
      </c>
      <c r="C319" s="20">
        <v>0.93379999999999996</v>
      </c>
      <c r="D319" s="20">
        <v>20.623000000000001</v>
      </c>
      <c r="E319" s="20">
        <v>0.1671</v>
      </c>
      <c r="F319" s="20">
        <v>1.8E-3</v>
      </c>
      <c r="G319" s="20">
        <v>6.4999999999999997E-3</v>
      </c>
      <c r="H319" s="23">
        <v>0.75333333387970924</v>
      </c>
    </row>
    <row r="320" spans="1:8" x14ac:dyDescent="0.25">
      <c r="A320" s="15">
        <v>248.43650000542399</v>
      </c>
      <c r="B320" s="20">
        <v>78.258600000000001</v>
      </c>
      <c r="C320" s="20">
        <v>0.93479999999999996</v>
      </c>
      <c r="D320" s="20">
        <v>20.636099999999999</v>
      </c>
      <c r="E320" s="20">
        <v>0.1628</v>
      </c>
      <c r="F320" s="20">
        <v>1E-3</v>
      </c>
      <c r="G320" s="20">
        <v>6.7000000000000002E-3</v>
      </c>
      <c r="H320" s="23">
        <v>0.75150000303983688</v>
      </c>
    </row>
    <row r="321" spans="1:8" x14ac:dyDescent="0.25">
      <c r="A321" s="15">
        <v>249.29566666856411</v>
      </c>
      <c r="B321" s="20">
        <v>78.270700000000005</v>
      </c>
      <c r="C321" s="20">
        <v>0.93420000000000003</v>
      </c>
      <c r="D321" s="20">
        <v>20.632200000000001</v>
      </c>
      <c r="E321" s="20">
        <v>0.15459999999999999</v>
      </c>
      <c r="F321" s="20">
        <v>2.2000000000000001E-3</v>
      </c>
      <c r="G321" s="20">
        <v>6.1999999999999998E-3</v>
      </c>
      <c r="H321" s="23">
        <v>0.85916666314005852</v>
      </c>
    </row>
    <row r="322" spans="1:8" x14ac:dyDescent="0.25">
      <c r="A322" s="15">
        <v>250.0480000004172</v>
      </c>
      <c r="B322" s="20">
        <v>78.267200000000003</v>
      </c>
      <c r="C322" s="20">
        <v>0.93379999999999996</v>
      </c>
      <c r="D322" s="20">
        <v>20.642800000000001</v>
      </c>
      <c r="E322" s="20">
        <v>0.14990000000000001</v>
      </c>
      <c r="F322" s="20">
        <v>1E-4</v>
      </c>
      <c r="G322" s="20">
        <v>6.3E-3</v>
      </c>
      <c r="H322" s="23">
        <v>0.75233333185315132</v>
      </c>
    </row>
    <row r="323" spans="1:8" x14ac:dyDescent="0.25">
      <c r="A323" s="15">
        <v>250.79900000244379</v>
      </c>
      <c r="B323" s="20">
        <v>78.252899999999997</v>
      </c>
      <c r="C323" s="20">
        <v>0.93400000000000005</v>
      </c>
      <c r="D323" s="20">
        <v>20.645099999999999</v>
      </c>
      <c r="E323" s="20">
        <v>0.1583</v>
      </c>
      <c r="F323" s="20">
        <v>3.2000000000000002E-3</v>
      </c>
      <c r="G323" s="20">
        <v>6.6E-3</v>
      </c>
      <c r="H323" s="23">
        <v>0.75100000202655792</v>
      </c>
    </row>
    <row r="324" spans="1:8" x14ac:dyDescent="0.25">
      <c r="A324" s="15">
        <v>251.5533333346248</v>
      </c>
      <c r="B324" s="20">
        <v>78.254000000000005</v>
      </c>
      <c r="C324" s="20">
        <v>0.93330000000000002</v>
      </c>
      <c r="D324" s="20">
        <v>20.6432</v>
      </c>
      <c r="E324" s="20">
        <v>0.16159999999999999</v>
      </c>
      <c r="F324" s="20">
        <v>1.5E-3</v>
      </c>
      <c r="G324" s="20">
        <v>6.4999999999999997E-3</v>
      </c>
      <c r="H324" s="23">
        <v>0.75433333218097687</v>
      </c>
    </row>
    <row r="325" spans="1:8" x14ac:dyDescent="0.25">
      <c r="A325" s="15">
        <v>252.30766666680569</v>
      </c>
      <c r="B325" s="20">
        <v>78.251099999999994</v>
      </c>
      <c r="C325" s="20">
        <v>0.93379999999999996</v>
      </c>
      <c r="D325" s="20">
        <v>20.6448</v>
      </c>
      <c r="E325" s="20">
        <v>0.16239999999999999</v>
      </c>
      <c r="F325" s="20">
        <v>1.2999999999999999E-3</v>
      </c>
      <c r="G325" s="20">
        <v>6.6E-3</v>
      </c>
      <c r="H325" s="23">
        <v>0.75433333218097687</v>
      </c>
    </row>
    <row r="326" spans="1:8" x14ac:dyDescent="0.25">
      <c r="A326" s="15">
        <v>253.16700000315899</v>
      </c>
      <c r="B326" s="20">
        <v>78.261499999999998</v>
      </c>
      <c r="C326" s="20">
        <v>0.93389999999999995</v>
      </c>
      <c r="D326" s="20">
        <v>20.651700000000002</v>
      </c>
      <c r="E326" s="20">
        <v>0.14610000000000001</v>
      </c>
      <c r="F326" s="20">
        <v>1E-3</v>
      </c>
      <c r="G326" s="20">
        <v>5.8999999999999999E-3</v>
      </c>
      <c r="H326" s="23">
        <v>0.859333336353302</v>
      </c>
    </row>
    <row r="327" spans="1:8" x14ac:dyDescent="0.25">
      <c r="A327" s="15">
        <v>253.92333333566779</v>
      </c>
      <c r="B327" s="20">
        <v>78.267499999999998</v>
      </c>
      <c r="C327" s="20">
        <v>0.93469999999999998</v>
      </c>
      <c r="D327" s="20">
        <v>20.643699999999999</v>
      </c>
      <c r="E327" s="20">
        <v>0.14649999999999999</v>
      </c>
      <c r="F327" s="20">
        <v>1.1999999999999999E-3</v>
      </c>
      <c r="G327" s="20">
        <v>6.4999999999999997E-3</v>
      </c>
      <c r="H327" s="23">
        <v>0.75633333250880241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 phase</vt:lpstr>
      <vt:lpstr>Gas phase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Yubo Wang</dc:creator>
  <cp:lastModifiedBy>Yubo Wang</cp:lastModifiedBy>
  <dcterms:created xsi:type="dcterms:W3CDTF">2025-02-05T11:48:40Z</dcterms:created>
  <dcterms:modified xsi:type="dcterms:W3CDTF">2026-09-27T07:24:40Z</dcterms:modified>
</cp:coreProperties>
</file>